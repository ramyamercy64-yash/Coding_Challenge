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man\OneDrive\Desktop\CODING CHALLENGE_DAY1\DAY_5\"/>
    </mc:Choice>
  </mc:AlternateContent>
  <xr:revisionPtr revIDLastSave="0" documentId="13_ncr:1_{8F99DE14-873D-48C7-810D-6D93F752651C}" xr6:coauthVersionLast="47" xr6:coauthVersionMax="47" xr10:uidLastSave="{00000000-0000-0000-0000-000000000000}"/>
  <bookViews>
    <workbookView xWindow="-108" yWindow="-108" windowWidth="23256" windowHeight="12576" xr2:uid="{2DCB867C-72E7-466B-8F41-B6C7548787FA}"/>
  </bookViews>
  <sheets>
    <sheet name="Summary_Dashboard" sheetId="2" r:id="rId1"/>
    <sheet name="Data&amp;Calculatins" sheetId="1" r:id="rId2"/>
    <sheet name="Detailed Analysis" sheetId="5" r:id="rId3"/>
    <sheet name="Recommendations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1" l="1"/>
  <c r="V11" i="1"/>
</calcChain>
</file>

<file path=xl/sharedStrings.xml><?xml version="1.0" encoding="utf-8"?>
<sst xmlns="http://schemas.openxmlformats.org/spreadsheetml/2006/main" count="1543" uniqueCount="733">
  <si>
    <t>ticket_id</t>
  </si>
  <si>
    <t>submission_date</t>
  </si>
  <si>
    <t>resolution_date</t>
  </si>
  <si>
    <t>category</t>
  </si>
  <si>
    <t>assigned_analyst</t>
  </si>
  <si>
    <t>description</t>
  </si>
  <si>
    <t>priority</t>
  </si>
  <si>
    <t>Resolution time</t>
  </si>
  <si>
    <t>Submission_date_short</t>
  </si>
  <si>
    <t>Resolution_date_short</t>
  </si>
  <si>
    <t>Day _week</t>
  </si>
  <si>
    <t>Month</t>
  </si>
  <si>
    <t>Hour</t>
  </si>
  <si>
    <t>TICKET-1000</t>
  </si>
  <si>
    <t>2025-06-27 22:36:15.973930</t>
  </si>
  <si>
    <t>2025-06-28 03:46:40.643597</t>
  </si>
  <si>
    <t>Other</t>
  </si>
  <si>
    <t>Toni Wiley</t>
  </si>
  <si>
    <t>Dream part subject until full. Brother century suddenly above. Six eight benefit animal move best.</t>
  </si>
  <si>
    <t>High</t>
  </si>
  <si>
    <t>Friday</t>
  </si>
  <si>
    <t>2025-06</t>
  </si>
  <si>
    <t>TICKET-1001</t>
  </si>
  <si>
    <t>2025-09-01 19:27:59.002736</t>
  </si>
  <si>
    <t>2025-09-03 07:18:05.731716</t>
  </si>
  <si>
    <t>Software</t>
  </si>
  <si>
    <t>Tanya Jones</t>
  </si>
  <si>
    <t>Application X is crashing every time I open it. Lead how phone also score player later blue.</t>
  </si>
  <si>
    <t>Medium</t>
  </si>
  <si>
    <t>Monday</t>
  </si>
  <si>
    <t>2025-09</t>
  </si>
  <si>
    <t>TICKET-1002</t>
  </si>
  <si>
    <t>2025-09-04 09:32:02.540499</t>
  </si>
  <si>
    <t>2025-09-05 23:50:36.514904</t>
  </si>
  <si>
    <t>Sheila Ball</t>
  </si>
  <si>
    <t>Black attack cold would page. Reality she war a chance. Physical hour Mr item red agreement for.</t>
  </si>
  <si>
    <t>Thursday</t>
  </si>
  <si>
    <t>TICKET-1003</t>
  </si>
  <si>
    <t>2025-07-28 17:47:33.955168</t>
  </si>
  <si>
    <t>2025-07-29 01:38:19.258840</t>
  </si>
  <si>
    <t>Hardware</t>
  </si>
  <si>
    <t>Cynthia Rich</t>
  </si>
  <si>
    <t>My laptop's keyboard isn't working properly, some keys are stuck. Tree culture above effort more national whether.</t>
  </si>
  <si>
    <t>2025-07</t>
  </si>
  <si>
    <t>TICKET-1004</t>
  </si>
  <si>
    <t>2025-09-03 21:46:08.623803</t>
  </si>
  <si>
    <t>2025-09-04 06:53:07.154457</t>
  </si>
  <si>
    <t>Janice Burns</t>
  </si>
  <si>
    <t>Application X is crashing every time I open it. Order wrong fight foreign bad house pick.</t>
  </si>
  <si>
    <t>Wednesday</t>
  </si>
  <si>
    <t>TICKET-1005</t>
  </si>
  <si>
    <t>2025-08-04 20:32:40.305658</t>
  </si>
  <si>
    <t>2025-08-10 09:52:41.581470</t>
  </si>
  <si>
    <t>Application X is crashing every time I open it. Sport should network realize relate very voice.</t>
  </si>
  <si>
    <t>Low</t>
  </si>
  <si>
    <t>2025-08</t>
  </si>
  <si>
    <t>TICKET-1006</t>
  </si>
  <si>
    <t>2025-08-22 10:38:15.678132</t>
  </si>
  <si>
    <t>2025-08-23 14:11:49.477646</t>
  </si>
  <si>
    <t>Access</t>
  </si>
  <si>
    <t>Autumn Ryan</t>
  </si>
  <si>
    <t>I'm locked out of my account and can't reset my password. If rather year suffer wrong.</t>
  </si>
  <si>
    <t>TICKET-1007</t>
  </si>
  <si>
    <t>2025-07-05 07:43:27.971030</t>
  </si>
  <si>
    <t>2025-07-09 20:26:19.498056</t>
  </si>
  <si>
    <t>Amanda White</t>
  </si>
  <si>
    <t>Application X is crashing every time I open it. Here bill leg region training. Grow new may.</t>
  </si>
  <si>
    <t>Saturday</t>
  </si>
  <si>
    <t>TICKET-1008</t>
  </si>
  <si>
    <t>2025-07-07 16:41:13.572214</t>
  </si>
  <si>
    <t>2025-07-08 10:04:28.061319</t>
  </si>
  <si>
    <t>My laptop's keyboard isn't working properly, some keys are stuck. Common maintain theory involve ok detail.</t>
  </si>
  <si>
    <t>TICKET-1009</t>
  </si>
  <si>
    <t>2025-09-10 14:49:32.772986</t>
  </si>
  <si>
    <t>2025-09-11 19:58:37.053319</t>
  </si>
  <si>
    <t>Application X is crashing every time I open it. Responsibility again recently traditional word.</t>
  </si>
  <si>
    <t>TICKET-1010</t>
  </si>
  <si>
    <t>2025-08-27 13:20:01.825947</t>
  </si>
  <si>
    <t>2025-09-02 16:28:31.353328</t>
  </si>
  <si>
    <t>Adam Stone</t>
  </si>
  <si>
    <t>Application X is crashing every time I open it. Structure this woman born.</t>
  </si>
  <si>
    <t>TICKET-1011</t>
  </si>
  <si>
    <t>2025-06-24 01:56:18.720420</t>
  </si>
  <si>
    <t>2025-06-24 05:46:32.731443</t>
  </si>
  <si>
    <t>Network</t>
  </si>
  <si>
    <t>Natasha Harris</t>
  </si>
  <si>
    <t>Can't connect to the Wi-Fi. It's showing 'No internet access'. Maintain without college strong few not week.</t>
  </si>
  <si>
    <t>Tuesday</t>
  </si>
  <si>
    <t>TICKET-1012</t>
  </si>
  <si>
    <t>2025-06-28 09:51:47.052154</t>
  </si>
  <si>
    <t>2025-06-29 02:58:41.188060</t>
  </si>
  <si>
    <t>Can't connect to the Wi-Fi. It's showing 'No internet access'. Official human task door century energy Mr.</t>
  </si>
  <si>
    <t>TICKET-1013</t>
  </si>
  <si>
    <t>2025-07-22 09:08:53.603308</t>
  </si>
  <si>
    <t>2025-07-26 15:54:43.831940</t>
  </si>
  <si>
    <t>Application X is crashing every time I open it. Spring operation performance glass choice kind.</t>
  </si>
  <si>
    <t>TICKET-1014</t>
  </si>
  <si>
    <t>2025-07-09 22:32:58.087652</t>
  </si>
  <si>
    <t>2025-07-10 01:11:31.801503</t>
  </si>
  <si>
    <t>Application X is crashing every time I open it. Summer yard maintain fire ask eight.</t>
  </si>
  <si>
    <t>TICKET-1015</t>
  </si>
  <si>
    <t>2025-07-23 22:34:10.788008</t>
  </si>
  <si>
    <t>2025-07-24 01:20:01.498702</t>
  </si>
  <si>
    <t>Marvin West</t>
  </si>
  <si>
    <t>Application X is crashing every time I open it. Least check between event. Can brother two form.</t>
  </si>
  <si>
    <t>TICKET-1016</t>
  </si>
  <si>
    <t>2025-08-06 11:52:05.195899</t>
  </si>
  <si>
    <t>2025-08-11 08:18:52.857508</t>
  </si>
  <si>
    <t>Application X is crashing every time I open it. Resource in affect charge customer accept dream.</t>
  </si>
  <si>
    <t>TICKET-1017</t>
  </si>
  <si>
    <t>2025-06-30 16:42:13.714736</t>
  </si>
  <si>
    <t>2025-07-02 20:37:18.514894</t>
  </si>
  <si>
    <t>Security</t>
  </si>
  <si>
    <t>Thought national word picture each deep.</t>
  </si>
  <si>
    <t>TICKET-1018</t>
  </si>
  <si>
    <t>2025-06-30 23:03:04.441404</t>
  </si>
  <si>
    <t>2025-07-04 11:48:25.095189</t>
  </si>
  <si>
    <t>Can't connect to the Wi-Fi. It's showing 'No internet access'. Card series research else cup though artist.</t>
  </si>
  <si>
    <t>TICKET-1019</t>
  </si>
  <si>
    <t>2025-07-03 07:27:15.088527</t>
  </si>
  <si>
    <t>2025-07-04 23:58:38.615326</t>
  </si>
  <si>
    <t>My laptop's keyboard isn't working properly, some keys are stuck. Young up grow after offer east region would.</t>
  </si>
  <si>
    <t>TICKET-1020</t>
  </si>
  <si>
    <t>2025-06-23 22:49:37.645901</t>
  </si>
  <si>
    <t>2025-06-25 11:06:40.203209</t>
  </si>
  <si>
    <t>Application X is crashing every time I open it. Nice then management.</t>
  </si>
  <si>
    <t>TICKET-1021</t>
  </si>
  <si>
    <t>2025-07-08 11:34:56.771616</t>
  </si>
  <si>
    <t>2025-07-10 09:25:12.405241</t>
  </si>
  <si>
    <t>Application X is crashing every time I open it. Water act involve follow hot.</t>
  </si>
  <si>
    <t>TICKET-1022</t>
  </si>
  <si>
    <t>2025-06-22 23:29:45.598373</t>
  </si>
  <si>
    <t>2025-06-23 16:34:14.252886</t>
  </si>
  <si>
    <t>Application X is crashing every time I open it. Another such apply table let.</t>
  </si>
  <si>
    <t>Sunday</t>
  </si>
  <si>
    <t>TICKET-1023</t>
  </si>
  <si>
    <t>2025-08-29 12:27:52.714228</t>
  </si>
  <si>
    <t>2025-08-31 04:23:44.735158</t>
  </si>
  <si>
    <t>Application X is crashing every time I open it. Senior per draw day mention sea quickly.</t>
  </si>
  <si>
    <t>TICKET-1024</t>
  </si>
  <si>
    <t>2025-07-12 03:37:37.169801</t>
  </si>
  <si>
    <t>2025-07-16 09:42:35.062502</t>
  </si>
  <si>
    <t>Can't connect to the Wi-Fi. It's showing 'No internet access'. Race Republican expect east might collection.</t>
  </si>
  <si>
    <t>TICKET-1025</t>
  </si>
  <si>
    <t>2025-07-13 05:42:49.821632</t>
  </si>
  <si>
    <t>2025-07-14 19:35:58.919440</t>
  </si>
  <si>
    <t>Application X is crashing every time I open it. Total maintain service writer.</t>
  </si>
  <si>
    <t>TICKET-1026</t>
  </si>
  <si>
    <t>2025-06-24 00:26:51.294033</t>
  </si>
  <si>
    <t>2025-06-24 12:14:51.991110</t>
  </si>
  <si>
    <t>Can't connect to the Wi-Fi. It's showing 'No internet access'. Individual herself decide generation.</t>
  </si>
  <si>
    <t>TICKET-1027</t>
  </si>
  <si>
    <t>2025-07-03 19:29:05.365425</t>
  </si>
  <si>
    <t>2025-07-05 17:15:13.943082</t>
  </si>
  <si>
    <t>Billing</t>
  </si>
  <si>
    <t>Yourself floor foot character choose. Brother prepare but film key name.</t>
  </si>
  <si>
    <t>TICKET-1028</t>
  </si>
  <si>
    <t>2025-09-15 13:02:57.156414</t>
  </si>
  <si>
    <t>2025-09-17 07:57:17.751897</t>
  </si>
  <si>
    <t>Successful radio play network yet. Fill director direction ready white.</t>
  </si>
  <si>
    <t>TICKET-1029</t>
  </si>
  <si>
    <t>2025-08-27 21:57:13.064988</t>
  </si>
  <si>
    <t>2025-08-29 06:38:56.902987</t>
  </si>
  <si>
    <t>Application X is crashing every time I open it. Southern beat general first much hotel agency.</t>
  </si>
  <si>
    <t>TICKET-1030</t>
  </si>
  <si>
    <t>2025-08-30 20:17:04.470282</t>
  </si>
  <si>
    <t>2025-09-06 02:38:11.094292</t>
  </si>
  <si>
    <t>Can't connect to the Wi-Fi. It's showing 'No internet access'. Cup government by life reduce each customer.</t>
  </si>
  <si>
    <t>TICKET-1031</t>
  </si>
  <si>
    <t>2025-08-24 23:58:57.561955</t>
  </si>
  <si>
    <t>2025-08-25 07:35:19.068247</t>
  </si>
  <si>
    <t>Application X is crashing every time I open it. Market growth film.</t>
  </si>
  <si>
    <t>TICKET-1032</t>
  </si>
  <si>
    <t>2025-07-11 18:10:38.706775</t>
  </si>
  <si>
    <t>2025-07-17 06:40:37.799525</t>
  </si>
  <si>
    <t>Can't connect to the Wi-Fi. It's showing 'No internet access'. Could north state feel others participant.</t>
  </si>
  <si>
    <t>TICKET-1033</t>
  </si>
  <si>
    <t>2025-09-04 19:33:02.601042</t>
  </si>
  <si>
    <t>2025-09-10 05:28:47.140040</t>
  </si>
  <si>
    <t>Follow chair add finally these plan staff. Across shoulder school free.</t>
  </si>
  <si>
    <t>TICKET-1034</t>
  </si>
  <si>
    <t>2025-08-24 17:06:08.325417</t>
  </si>
  <si>
    <t>2025-08-30 19:43:20.862349</t>
  </si>
  <si>
    <t>Application X is crashing every time I open it. Bag half join treat water by affect.</t>
  </si>
  <si>
    <t>TICKET-1035</t>
  </si>
  <si>
    <t>2025-06-30 17:48:02.817928</t>
  </si>
  <si>
    <t>2025-07-01 19:36:47.008690</t>
  </si>
  <si>
    <t>My laptop's keyboard isn't working properly, some keys are stuck. Science bad news pressure anything probably save.</t>
  </si>
  <si>
    <t>TICKET-1036</t>
  </si>
  <si>
    <t>2025-09-09 08:46:25.998679</t>
  </si>
  <si>
    <t>2025-09-13 06:18:49.189686</t>
  </si>
  <si>
    <t>Application X is crashing every time I open it. Fund project find law identify close worker.</t>
  </si>
  <si>
    <t>TICKET-1037</t>
  </si>
  <si>
    <t>2025-08-11 10:56:35.910046</t>
  </si>
  <si>
    <t>2025-08-17 16:07:19.112891</t>
  </si>
  <si>
    <t>Rate play media air. Trade thank hundred choice reduce remember possible us.</t>
  </si>
  <si>
    <t>TICKET-1038</t>
  </si>
  <si>
    <t>2025-09-01 16:20:12.053384</t>
  </si>
  <si>
    <t>2025-09-02 02:43:04.184300</t>
  </si>
  <si>
    <t>Application X is crashing every time I open it. Effort avoid door shoulder cut.</t>
  </si>
  <si>
    <t>TICKET-1039</t>
  </si>
  <si>
    <t>2025-08-14 20:30:07.061476</t>
  </si>
  <si>
    <t>2025-08-15 08:44:18.503494</t>
  </si>
  <si>
    <t>I'm locked out of my account and can't reset my password. Point fine stop radio chair tree career scene.</t>
  </si>
  <si>
    <t>TICKET-1040</t>
  </si>
  <si>
    <t>2025-09-05 05:49:38.685883</t>
  </si>
  <si>
    <t>2025-09-06 22:59:27.198268</t>
  </si>
  <si>
    <t>Can't connect to the Wi-Fi. It's showing 'No internet access'. Simple practice operation move put.</t>
  </si>
  <si>
    <t>TICKET-1041</t>
  </si>
  <si>
    <t>2025-09-13 18:26:29.790353</t>
  </si>
  <si>
    <t>2025-09-14 19:22:38.971560</t>
  </si>
  <si>
    <t>My laptop's keyboard isn't working properly, some keys are stuck. Firm discuss audience say amount.</t>
  </si>
  <si>
    <t>TICKET-1042</t>
  </si>
  <si>
    <t>2025-07-28 00:42:23.918525</t>
  </si>
  <si>
    <t>2025-08-03 11:00:26.756030</t>
  </si>
  <si>
    <t>Physical business information.
Activity else house another. Still protect admit answer.</t>
  </si>
  <si>
    <t>TICKET-1043</t>
  </si>
  <si>
    <t>2025-07-30 21:37:32.644939</t>
  </si>
  <si>
    <t>2025-07-30 23:09:44.300560</t>
  </si>
  <si>
    <t>Application X is crashing every time I open it. Anything despite not.</t>
  </si>
  <si>
    <t>Critical</t>
  </si>
  <si>
    <t>TICKET-1044</t>
  </si>
  <si>
    <t>2025-08-03 03:02:32.964009</t>
  </si>
  <si>
    <t>2025-08-03 07:10:24.158224</t>
  </si>
  <si>
    <t>My laptop's keyboard isn't working properly, some keys are stuck. Film answer tax different carry represent.</t>
  </si>
  <si>
    <t>TICKET-1045</t>
  </si>
  <si>
    <t>2025-07-05 09:41:53.761841</t>
  </si>
  <si>
    <t>2025-07-05 21:04:57.027735</t>
  </si>
  <si>
    <t>Application X is crashing every time I open it. American computer let go event.</t>
  </si>
  <si>
    <t>TICKET-1046</t>
  </si>
  <si>
    <t>2025-08-30 13:43:05.708992</t>
  </si>
  <si>
    <t>2025-09-01 11:41:58.802726</t>
  </si>
  <si>
    <t>Can't connect to the Wi-Fi. It's showing 'No internet access'. Build oil wait community less happen.</t>
  </si>
  <si>
    <t>TICKET-1047</t>
  </si>
  <si>
    <t>2025-06-22 15:23:40.594327</t>
  </si>
  <si>
    <t>2025-06-27 12:57:19.370578</t>
  </si>
  <si>
    <t>I'm locked out of my account and can't reset my password. Decide stuff agree national politics current son.</t>
  </si>
  <si>
    <t>TICKET-1048</t>
  </si>
  <si>
    <t>2025-07-03 03:12:43.187232</t>
  </si>
  <si>
    <t>2025-07-03 15:39:54.450866</t>
  </si>
  <si>
    <t>Can't connect to the Wi-Fi. It's showing 'No internet access'. Phone interview worker could.</t>
  </si>
  <si>
    <t>TICKET-1049</t>
  </si>
  <si>
    <t>2025-08-09 17:51:19.183528</t>
  </si>
  <si>
    <t>2025-08-10 20:32:45.798059</t>
  </si>
  <si>
    <t>Can't connect to the Wi-Fi. It's showing 'No internet access'. Together life least mission.</t>
  </si>
  <si>
    <t>TICKET-1050</t>
  </si>
  <si>
    <t>2025-07-23 08:22:42.095245</t>
  </si>
  <si>
    <t>2025-07-27 23:09:53.998222</t>
  </si>
  <si>
    <t>If forget newspaper behavior note put. Almost affect entire. Trial set capital real.</t>
  </si>
  <si>
    <t>TICKET-1051</t>
  </si>
  <si>
    <t>2025-07-31 19:51:43.484115</t>
  </si>
  <si>
    <t>2025-08-07 01:25:05.826194</t>
  </si>
  <si>
    <t>Application X is crashing every time I open it. My sound short.</t>
  </si>
  <si>
    <t>TICKET-1052</t>
  </si>
  <si>
    <t>2025-06-29 02:21:49.693987</t>
  </si>
  <si>
    <t>2025-06-29 17:27:45.863439</t>
  </si>
  <si>
    <t>Application X is crashing every time I open it. Where culture site value set.</t>
  </si>
  <si>
    <t>TICKET-1053</t>
  </si>
  <si>
    <t>2025-08-15 20:41:48.481773</t>
  </si>
  <si>
    <t>2025-08-16 09:53:38.850148</t>
  </si>
  <si>
    <t>Application X is crashing every time I open it. Go claim billion small experience old.</t>
  </si>
  <si>
    <t>TICKET-1054</t>
  </si>
  <si>
    <t>2025-07-15 09:00:06.200781</t>
  </si>
  <si>
    <t>2025-07-15 19:03:09.634822</t>
  </si>
  <si>
    <t>Can't connect to the Wi-Fi. It's showing 'No internet access'. Option name including.</t>
  </si>
  <si>
    <t>TICKET-1055</t>
  </si>
  <si>
    <t>2025-06-21 01:06:48.344880</t>
  </si>
  <si>
    <t>2025-06-22 17:47:48.208097</t>
  </si>
  <si>
    <t>I'm locked out of my account and can't reset my password. Idea enter expert decision something.</t>
  </si>
  <si>
    <t>TICKET-1056</t>
  </si>
  <si>
    <t>2025-08-02 07:52:12.724484</t>
  </si>
  <si>
    <t>2025-08-03 14:28:33.533957</t>
  </si>
  <si>
    <t>Through culture similar finally. Oil world money about fine street small.</t>
  </si>
  <si>
    <t>TICKET-1057</t>
  </si>
  <si>
    <t>2025-07-22 08:29:34.643399</t>
  </si>
  <si>
    <t>2025-07-29 06:48:57.578293</t>
  </si>
  <si>
    <t>Weight go sort sign law response since. Sister other actually Mrs fight everything get.</t>
  </si>
  <si>
    <t>TICKET-1058</t>
  </si>
  <si>
    <t>2025-08-06 13:42:50.714289</t>
  </si>
  <si>
    <t>2025-08-08 07:16:37.024354</t>
  </si>
  <si>
    <t>Particular ask company nearly exist exactly friend.</t>
  </si>
  <si>
    <t>TICKET-1059</t>
  </si>
  <si>
    <t>2025-06-19 06:37:43.399303</t>
  </si>
  <si>
    <t>2025-06-20 14:17:58.969089</t>
  </si>
  <si>
    <t>Application X is crashing every time I open it. Skin subject purpose baby training.</t>
  </si>
  <si>
    <t>TICKET-1060</t>
  </si>
  <si>
    <t>2025-08-27 11:05:37.961450</t>
  </si>
  <si>
    <t>2025-08-28 11:49:50.220064</t>
  </si>
  <si>
    <t>My laptop's keyboard isn't working properly, some keys are stuck. Than none office improve.</t>
  </si>
  <si>
    <t>TICKET-1061</t>
  </si>
  <si>
    <t>2025-09-10 20:19:38.288785</t>
  </si>
  <si>
    <t>2025-09-12 10:03:29.189035</t>
  </si>
  <si>
    <t>Application X is crashing every time I open it. With because article scene father black.</t>
  </si>
  <si>
    <t>TICKET-1062</t>
  </si>
  <si>
    <t>2025-07-01 16:39:40.177212</t>
  </si>
  <si>
    <t>2025-07-02 16:21:42.582830</t>
  </si>
  <si>
    <t>Application X is crashing every time I open it. Food pass energy fund need read anything.</t>
  </si>
  <si>
    <t>TICKET-1063</t>
  </si>
  <si>
    <t>2025-08-02 07:57:08.874598</t>
  </si>
  <si>
    <t>2025-08-02 15:55:36.593196</t>
  </si>
  <si>
    <t>I'm locked out of my account and can't reset my password. Agreement news significant cultural agree.</t>
  </si>
  <si>
    <t>TICKET-1064</t>
  </si>
  <si>
    <t>2025-09-10 05:58:12.323939</t>
  </si>
  <si>
    <t>2025-09-10 14:01:55.454967</t>
  </si>
  <si>
    <t>I'm locked out of my account and can't reset my password. Especially under always tend teacher build.</t>
  </si>
  <si>
    <t>TICKET-1065</t>
  </si>
  <si>
    <t>2025-08-17 19:11:15.544818</t>
  </si>
  <si>
    <t>2025-08-18 09:55:36.160715</t>
  </si>
  <si>
    <t>Can't connect to the Wi-Fi. It's showing 'No internet access'. Child as debate economy.</t>
  </si>
  <si>
    <t>TICKET-1066</t>
  </si>
  <si>
    <t>2025-07-18 06:21:57.631691</t>
  </si>
  <si>
    <t>2025-07-23 20:05:28.330340</t>
  </si>
  <si>
    <t>My laptop's keyboard isn't working properly, some keys are stuck. Someone poor mission fill free.</t>
  </si>
  <si>
    <t>TICKET-1067</t>
  </si>
  <si>
    <t>2025-07-06 02:18:18.909541</t>
  </si>
  <si>
    <t>2025-07-07 13:03:00.344742</t>
  </si>
  <si>
    <t>Can't connect to the Wi-Fi. It's showing 'No internet access'. Represent safe scene wall dog.</t>
  </si>
  <si>
    <t>TICKET-1068</t>
  </si>
  <si>
    <t>2025-08-25 22:46:49.530301</t>
  </si>
  <si>
    <t>2025-08-29 05:16:59.387024</t>
  </si>
  <si>
    <t>Application X is crashing every time I open it. Claim success those baby.</t>
  </si>
  <si>
    <t>TICKET-1069</t>
  </si>
  <si>
    <t>2025-09-07 00:30:29.130082</t>
  </si>
  <si>
    <t>2025-09-08 00:37:01.254910</t>
  </si>
  <si>
    <t>Application X is crashing every time I open it. Term lot their. Dark itself deal race Democrat.</t>
  </si>
  <si>
    <t>TICKET-1070</t>
  </si>
  <si>
    <t>2025-07-21 21:58:20.651590</t>
  </si>
  <si>
    <t>2025-07-22 01:11:23.639322</t>
  </si>
  <si>
    <t>My laptop's keyboard isn't working properly, some keys are stuck. Bad past glass strategy. Above skin station.</t>
  </si>
  <si>
    <t>TICKET-1071</t>
  </si>
  <si>
    <t>2025-07-24 12:55:26.600680</t>
  </si>
  <si>
    <t>2025-07-25 08:58:25.688989</t>
  </si>
  <si>
    <t>Application X is crashing every time I open it. Tv control generation away public remain.</t>
  </si>
  <si>
    <t>TICKET-1072</t>
  </si>
  <si>
    <t>2025-06-18 07:42:24.174594</t>
  </si>
  <si>
    <t>2025-06-19 21:32:31.276443</t>
  </si>
  <si>
    <t>Can't connect to the Wi-Fi. It's showing 'No internet access'. Alone skill foot benefit.</t>
  </si>
  <si>
    <t>TICKET-1073</t>
  </si>
  <si>
    <t>2025-09-03 02:34:13.443388</t>
  </si>
  <si>
    <t>2025-09-03 10:40:48.679412</t>
  </si>
  <si>
    <t>Media respond them indicate. Up movie television stop. Garden ten city already close.</t>
  </si>
  <si>
    <t>TICKET-1074</t>
  </si>
  <si>
    <t>2025-08-08 23:17:56.438731</t>
  </si>
  <si>
    <t>2025-08-14 23:19:46.313107</t>
  </si>
  <si>
    <t>Lay support mouth control understand could. Husband for evening upon involve.</t>
  </si>
  <si>
    <t>TICKET-1075</t>
  </si>
  <si>
    <t>2025-08-28 01:48:14.314756</t>
  </si>
  <si>
    <t>2025-08-28 09:40:57.970769</t>
  </si>
  <si>
    <t>Company month civil season include. Onto life for both little.</t>
  </si>
  <si>
    <t>TICKET-1076</t>
  </si>
  <si>
    <t>2025-07-20 10:31:23.379745</t>
  </si>
  <si>
    <t>2025-07-20 14:11:12.347592</t>
  </si>
  <si>
    <t>Application X is crashing every time I open it. Candidate push mind exactly feel.</t>
  </si>
  <si>
    <t>TICKET-1077</t>
  </si>
  <si>
    <t>2025-07-17 15:42:37.762034</t>
  </si>
  <si>
    <t>2025-07-17 22:40:18.028378</t>
  </si>
  <si>
    <t>Writer city suffer within important recently difference. Wait only relationship free.</t>
  </si>
  <si>
    <t>TICKET-1078</t>
  </si>
  <si>
    <t>2025-07-23 19:59:03.578013</t>
  </si>
  <si>
    <t>2025-07-26 11:29:42.635566</t>
  </si>
  <si>
    <t>Application X is crashing every time I open it. Form customer bill interest remember which.</t>
  </si>
  <si>
    <t>TICKET-1079</t>
  </si>
  <si>
    <t>2025-06-27 20:58:34.468465</t>
  </si>
  <si>
    <t>2025-07-01 20:08:24.689951</t>
  </si>
  <si>
    <t>Can't connect to the Wi-Fi. It's showing 'No internet access'. Agree begin guess ask choice low themselves born.</t>
  </si>
  <si>
    <t>TICKET-1080</t>
  </si>
  <si>
    <t>2025-06-19 16:43:34.730114</t>
  </si>
  <si>
    <t>2025-06-25 22:32:38.298600</t>
  </si>
  <si>
    <t>Application X is crashing every time I open it. Center worry nor whole.</t>
  </si>
  <si>
    <t>TICKET-1081</t>
  </si>
  <si>
    <t>2025-06-27 00:50:44.932765</t>
  </si>
  <si>
    <t>2025-07-01 10:00:37.596729</t>
  </si>
  <si>
    <t>I'm locked out of my account and can't reset my password. Miss son responsibility hour.</t>
  </si>
  <si>
    <t>TICKET-1082</t>
  </si>
  <si>
    <t>2025-08-10 11:17:27.241787</t>
  </si>
  <si>
    <t>2025-08-12 08:21:17.731647</t>
  </si>
  <si>
    <t>Application X is crashing every time I open it. Develop course foreign no either.</t>
  </si>
  <si>
    <t>TICKET-1083</t>
  </si>
  <si>
    <t>2025-07-29 01:49:11.870175</t>
  </si>
  <si>
    <t>2025-07-31 13:26:15.396546</t>
  </si>
  <si>
    <t>Public husband return country service very. Be exactly time firm yard price bad.</t>
  </si>
  <si>
    <t>TICKET-1084</t>
  </si>
  <si>
    <t>2025-07-06 10:09:03.984830</t>
  </si>
  <si>
    <t>2025-07-11 00:20:43.195927</t>
  </si>
  <si>
    <t>My laptop's keyboard isn't working properly, some keys are stuck. Perform author more owner girl message.</t>
  </si>
  <si>
    <t>TICKET-1085</t>
  </si>
  <si>
    <t>2025-07-30 04:23:33.703824</t>
  </si>
  <si>
    <t>2025-07-30 13:08:10.256595</t>
  </si>
  <si>
    <t>I'm locked out of my account and can't reset my password. Church stop environment.</t>
  </si>
  <si>
    <t>TICKET-1086</t>
  </si>
  <si>
    <t>2025-08-23 05:18:39.454057</t>
  </si>
  <si>
    <t>2025-08-24 16:37:10.838012</t>
  </si>
  <si>
    <t>Application X is crashing every time I open it. Everyone body modern feeling shake loss.</t>
  </si>
  <si>
    <t>TICKET-1087</t>
  </si>
  <si>
    <t>2025-07-10 03:11:22.722239</t>
  </si>
  <si>
    <t>2025-07-10 23:12:02.004884</t>
  </si>
  <si>
    <t>My laptop's keyboard isn't working properly, some keys are stuck. Whole material thus despite firm more.</t>
  </si>
  <si>
    <t>TICKET-1088</t>
  </si>
  <si>
    <t>2025-09-12 18:58:40.396096</t>
  </si>
  <si>
    <t>2025-09-14 02:31:58.850525</t>
  </si>
  <si>
    <t>Application X is crashing every time I open it. Until statement century seat vote never.</t>
  </si>
  <si>
    <t>TICKET-1089</t>
  </si>
  <si>
    <t>2025-09-02 15:20:46.366393</t>
  </si>
  <si>
    <t>2025-09-08 16:21:32.326263</t>
  </si>
  <si>
    <t>Application X is crashing every time I open it. Big season the.</t>
  </si>
  <si>
    <t>TICKET-1090</t>
  </si>
  <si>
    <t>2025-07-12 12:04:36.975885</t>
  </si>
  <si>
    <t>2025-07-13 06:22:20.069065</t>
  </si>
  <si>
    <t>Application X is crashing every time I open it. Usually career attention realize.</t>
  </si>
  <si>
    <t>TICKET-1091</t>
  </si>
  <si>
    <t>2025-08-06 04:36:43.313052</t>
  </si>
  <si>
    <t>2025-08-12 11:09:00.650030</t>
  </si>
  <si>
    <t>Application X is crashing every time I open it. Firm tonight statement feel Mrs music.</t>
  </si>
  <si>
    <t>TICKET-1092</t>
  </si>
  <si>
    <t>2025-06-24 12:26:09.684494</t>
  </si>
  <si>
    <t>2025-06-26 10:49:37.253224</t>
  </si>
  <si>
    <t>Can't connect to the Wi-Fi. It's showing 'No internet access'. Life change act. Through imagine again whole.</t>
  </si>
  <si>
    <t>TICKET-1093</t>
  </si>
  <si>
    <t>2025-06-25 21:27:43.152276</t>
  </si>
  <si>
    <t>2025-06-29 07:08:51.706277</t>
  </si>
  <si>
    <t>Including development attack wide. Concern his environment attack program rest team.</t>
  </si>
  <si>
    <t>TICKET-1094</t>
  </si>
  <si>
    <t>2025-07-25 15:06:41.157826</t>
  </si>
  <si>
    <t>2025-07-30 00:43:14.480677</t>
  </si>
  <si>
    <t>I'm locked out of my account and can't reset my password. Another collection another many.</t>
  </si>
  <si>
    <t>TICKET-1095</t>
  </si>
  <si>
    <t>2025-07-25 17:47:28.501342</t>
  </si>
  <si>
    <t>2025-07-26 21:49:20.177583</t>
  </si>
  <si>
    <t>Compare or at environmental. Six what them fall. Husband certain institution phone resource blood.</t>
  </si>
  <si>
    <t>TICKET-1096</t>
  </si>
  <si>
    <t>2025-08-12 17:49:44.814129</t>
  </si>
  <si>
    <t>2025-08-14 13:34:19.585641</t>
  </si>
  <si>
    <t>I'm locked out of my account and can't reset my password. Medical let door front. Law end always.</t>
  </si>
  <si>
    <t>TICKET-1097</t>
  </si>
  <si>
    <t>2025-07-25 21:16:19.313944</t>
  </si>
  <si>
    <t>2025-08-01 13:28:58.588709</t>
  </si>
  <si>
    <t>My laptop's keyboard isn't working properly, some keys are stuck. Rich fire power city. Water career next relate.</t>
  </si>
  <si>
    <t>TICKET-1098</t>
  </si>
  <si>
    <t>2025-09-14 19:22:48.195986</t>
  </si>
  <si>
    <t>2025-09-14 22:26:30.195060</t>
  </si>
  <si>
    <t>Application X is crashing every time I open it. Result happy song want finish stuff.</t>
  </si>
  <si>
    <t>TICKET-1099</t>
  </si>
  <si>
    <t>2025-07-31 00:15:23.382048</t>
  </si>
  <si>
    <t>2025-07-31 09:04:04.175211</t>
  </si>
  <si>
    <t>My laptop's keyboard isn't working properly, some keys are stuck. Themselves big matter happy small.</t>
  </si>
  <si>
    <t>TICKET-1100</t>
  </si>
  <si>
    <t>2025-08-17 13:13:43.618729</t>
  </si>
  <si>
    <t>2025-08-17 15:17:50.323371</t>
  </si>
  <si>
    <t>Application X is crashing every time I open it. Agent will respond help.</t>
  </si>
  <si>
    <t>TICKET-1101</t>
  </si>
  <si>
    <t>2025-09-11 12:55:10.618615</t>
  </si>
  <si>
    <t>2025-09-13 06:31:29.817598</t>
  </si>
  <si>
    <t>Application X is crashing every time I open it. Short commercial everybody difficult change.</t>
  </si>
  <si>
    <t>TICKET-1102</t>
  </si>
  <si>
    <t>2025-07-01 08:49:20.110396</t>
  </si>
  <si>
    <t>2025-07-02 11:20:43.188508</t>
  </si>
  <si>
    <t>Any today within none hot again green. Remember attack event view father.</t>
  </si>
  <si>
    <t>TICKET-1103</t>
  </si>
  <si>
    <t>2025-06-25 22:36:02.761947</t>
  </si>
  <si>
    <t>2025-06-26 09:59:44.950900</t>
  </si>
  <si>
    <t>Application X is crashing every time I open it. Represent senior his finish include nothing.</t>
  </si>
  <si>
    <t>TICKET-1104</t>
  </si>
  <si>
    <t>2025-09-06 06:19:01.311092</t>
  </si>
  <si>
    <t>2025-09-06 10:36:27.283872</t>
  </si>
  <si>
    <t>She certain boy build. Test bag country president environment.</t>
  </si>
  <si>
    <t>TICKET-1105</t>
  </si>
  <si>
    <t>2025-08-03 06:45:06.197430</t>
  </si>
  <si>
    <t>2025-08-05 16:41:23.599696</t>
  </si>
  <si>
    <t>Can't connect to the Wi-Fi. It's showing 'No internet access'. Hair job save son.</t>
  </si>
  <si>
    <t>TICKET-1106</t>
  </si>
  <si>
    <t>2025-08-17 12:18:01.697423</t>
  </si>
  <si>
    <t>2025-08-18 18:29:37.469504</t>
  </si>
  <si>
    <t>Growth middle establish public.</t>
  </si>
  <si>
    <t>TICKET-1107</t>
  </si>
  <si>
    <t>2025-07-28 14:54:11.938799</t>
  </si>
  <si>
    <t>2025-07-31 08:11:11.350919</t>
  </si>
  <si>
    <t>My laptop's keyboard isn't working properly, some keys are stuck. Produce require line letter listen often.</t>
  </si>
  <si>
    <t>TICKET-1108</t>
  </si>
  <si>
    <t>2025-07-12 06:57:35.470032</t>
  </si>
  <si>
    <t>2025-07-12 11:56:19.171293</t>
  </si>
  <si>
    <t>My laptop's keyboard isn't working properly, some keys are stuck. At bag continue.</t>
  </si>
  <si>
    <t>TICKET-1109</t>
  </si>
  <si>
    <t>2025-07-13 00:24:12.746402</t>
  </si>
  <si>
    <t>2025-07-19 22:24:35.161072</t>
  </si>
  <si>
    <t>Application X is crashing every time I open it. Without pass book tend.</t>
  </si>
  <si>
    <t>TICKET-1110</t>
  </si>
  <si>
    <t>2025-07-14 05:56:23.534599</t>
  </si>
  <si>
    <t>2025-07-14 12:35:51.330593</t>
  </si>
  <si>
    <t>I'm locked out of my account and can't reset my password. Right where add.</t>
  </si>
  <si>
    <t>TICKET-1111</t>
  </si>
  <si>
    <t>2025-08-28 11:29:54.578457</t>
  </si>
  <si>
    <t>2025-09-04 10:40:12.082644</t>
  </si>
  <si>
    <t>Application X is crashing every time I open it. Argue team senior low training.</t>
  </si>
  <si>
    <t>TICKET-1112</t>
  </si>
  <si>
    <t>2025-08-28 08:02:11.124029</t>
  </si>
  <si>
    <t>2025-09-02 04:40:55.640314</t>
  </si>
  <si>
    <t>Plant attack should. Drive international today. Pretty statement her upon nation.</t>
  </si>
  <si>
    <t>TICKET-1113</t>
  </si>
  <si>
    <t>2025-08-20 11:19:48.141910</t>
  </si>
  <si>
    <t>2025-08-20 13:31:35.081246</t>
  </si>
  <si>
    <t>My laptop's keyboard isn't working properly, some keys are stuck. Chance place build body population.</t>
  </si>
  <si>
    <t>TICKET-1114</t>
  </si>
  <si>
    <t>2025-06-26 06:39:15.099544</t>
  </si>
  <si>
    <t>2025-06-26 21:07:28.078565</t>
  </si>
  <si>
    <t>Something million activity. Interview under cover career under. Can address show public.</t>
  </si>
  <si>
    <t>TICKET-1115</t>
  </si>
  <si>
    <t>2025-09-04 00:02:16.937108</t>
  </si>
  <si>
    <t>2025-09-08 17:50:47.990773</t>
  </si>
  <si>
    <t>I'm locked out of my account and can't reset my password. Receive nature option oil read trouble.</t>
  </si>
  <si>
    <t>TICKET-1116</t>
  </si>
  <si>
    <t>2025-07-14 03:29:18.113669</t>
  </si>
  <si>
    <t>2025-07-15 11:50:20.373174</t>
  </si>
  <si>
    <t>Application X is crashing every time I open it. Toward ago director condition food share meet.</t>
  </si>
  <si>
    <t>TICKET-1117</t>
  </si>
  <si>
    <t>2025-07-24 06:40:03.461593</t>
  </si>
  <si>
    <t>2025-07-26 02:18:46.150403</t>
  </si>
  <si>
    <t>I'm locked out of my account and can't reset my password. For we when drive. Start identify now throw.</t>
  </si>
  <si>
    <t>TICKET-1118</t>
  </si>
  <si>
    <t>2025-08-03 22:42:22.688718</t>
  </si>
  <si>
    <t>2025-08-10 12:59:56.948767</t>
  </si>
  <si>
    <t>Even focus animal civil quality lay skill. Need maybe former return.</t>
  </si>
  <si>
    <t>TICKET-1119</t>
  </si>
  <si>
    <t>2025-07-12 00:15:34.413922</t>
  </si>
  <si>
    <t>2025-07-12 19:05:16.782096</t>
  </si>
  <si>
    <t>My laptop's keyboard isn't working properly, some keys are stuck. Cup money work certainly color.</t>
  </si>
  <si>
    <t>TICKET-1120</t>
  </si>
  <si>
    <t>2025-07-19 13:02:21.510314</t>
  </si>
  <si>
    <t>2025-07-20 07:25:23.414745</t>
  </si>
  <si>
    <t>Clear late win beat. Those arm say year him science door.</t>
  </si>
  <si>
    <t>TICKET-1121</t>
  </si>
  <si>
    <t>2025-06-29 20:08:29.765594</t>
  </si>
  <si>
    <t>2025-06-30 10:31:43.181731</t>
  </si>
  <si>
    <t>I'm locked out of my account and can't reset my password. Purpose almost nature create authority company.</t>
  </si>
  <si>
    <t>TICKET-1122</t>
  </si>
  <si>
    <t>2025-07-29 14:50:16.720665</t>
  </si>
  <si>
    <t>2025-07-30 09:24:47.501377</t>
  </si>
  <si>
    <t>Application X is crashing every time I open it. Garden better chance impact where how member.</t>
  </si>
  <si>
    <t>TICKET-1123</t>
  </si>
  <si>
    <t>2025-08-19 01:11:31.004509</t>
  </si>
  <si>
    <t>2025-08-20 19:06:32.675101</t>
  </si>
  <si>
    <t>Can't connect to the Wi-Fi. It's showing 'No internet access'. Bag without else red. Able year decision others.</t>
  </si>
  <si>
    <t>TICKET-1124</t>
  </si>
  <si>
    <t>2025-06-25 06:03:58.824067</t>
  </si>
  <si>
    <t>2025-06-25 18:46:32.716143</t>
  </si>
  <si>
    <t>Police machine star. Computer lead control across blue eye force. Parent set professor sit couple.</t>
  </si>
  <si>
    <t>TICKET-1125</t>
  </si>
  <si>
    <t>2025-08-02 18:27:57.528318</t>
  </si>
  <si>
    <t>2025-08-03 12:11:22.234008</t>
  </si>
  <si>
    <t>Group resource dinner knowledge scientist Mr. Police simply enter training too.</t>
  </si>
  <si>
    <t>TICKET-1126</t>
  </si>
  <si>
    <t>2025-08-26 00:22:42.730375</t>
  </si>
  <si>
    <t>2025-08-29 23:04:42.240506</t>
  </si>
  <si>
    <t>My laptop's keyboard isn't working properly, some keys are stuck. Go wear understand relate.</t>
  </si>
  <si>
    <t>TICKET-1127</t>
  </si>
  <si>
    <t>2025-07-17 15:23:18.597632</t>
  </si>
  <si>
    <t>2025-07-22 01:23:31.646257</t>
  </si>
  <si>
    <t>Application X is crashing every time I open it. Gas mother rate wind fight success medical.</t>
  </si>
  <si>
    <t>TICKET-1128</t>
  </si>
  <si>
    <t>2025-09-09 17:02:08.077983</t>
  </si>
  <si>
    <t>2025-09-10 01:18:36.603166</t>
  </si>
  <si>
    <t>Can't connect to the Wi-Fi. It's showing 'No internet access'. These entire million eat play sit.</t>
  </si>
  <si>
    <t>TICKET-1129</t>
  </si>
  <si>
    <t>2025-09-06 17:30:19.172691</t>
  </si>
  <si>
    <t>2025-09-08 16:09:04.776176</t>
  </si>
  <si>
    <t>Draw once season talk forward. Decision partner north realize finish one question.</t>
  </si>
  <si>
    <t>TICKET-1130</t>
  </si>
  <si>
    <t>2025-09-10 20:54:16.189442</t>
  </si>
  <si>
    <t>2025-09-12 16:37:09.957473</t>
  </si>
  <si>
    <t>Catch travel form bar pretty himself team. Light suffer evidence land ok may guy.</t>
  </si>
  <si>
    <t>TICKET-1131</t>
  </si>
  <si>
    <t>2025-08-10 12:29:53.257769</t>
  </si>
  <si>
    <t>2025-08-14 09:20:29.524043</t>
  </si>
  <si>
    <t>Act believe heavy watch best game part. Too language mean. Cut age personal resource.</t>
  </si>
  <si>
    <t>TICKET-1132</t>
  </si>
  <si>
    <t>2025-09-07 02:38:17.205429</t>
  </si>
  <si>
    <t>2025-09-10 14:05:48.941275</t>
  </si>
  <si>
    <t>Year name message voice data. Protect word up today. Break drop already life.</t>
  </si>
  <si>
    <t>TICKET-1133</t>
  </si>
  <si>
    <t>2025-07-21 07:07:13.788727</t>
  </si>
  <si>
    <t>2025-07-21 17:05:13.281284</t>
  </si>
  <si>
    <t>I'm locked out of my account and can't reset my password. Maintain tree story research hair why.</t>
  </si>
  <si>
    <t>TICKET-1134</t>
  </si>
  <si>
    <t>2025-08-15 01:02:49.922573</t>
  </si>
  <si>
    <t>2025-08-22 00:38:37.802880</t>
  </si>
  <si>
    <t>Memory process group arm attack indicate mother. View three prepare by.</t>
  </si>
  <si>
    <t>TICKET-1135</t>
  </si>
  <si>
    <t>2025-06-24 05:57:13.641026</t>
  </si>
  <si>
    <t>2025-06-29 00:46:12.292232</t>
  </si>
  <si>
    <t>Foreign sign be money cup raise keep. Right scene market.</t>
  </si>
  <si>
    <t>TICKET-1136</t>
  </si>
  <si>
    <t>2025-09-14 17:50:13.174584</t>
  </si>
  <si>
    <t>2025-09-17 23:47:18.705911</t>
  </si>
  <si>
    <t>My laptop's keyboard isn't working properly, some keys are stuck. Certain six among before.</t>
  </si>
  <si>
    <t>TICKET-1137</t>
  </si>
  <si>
    <t>2025-06-29 09:14:35.372818</t>
  </si>
  <si>
    <t>2025-06-30 23:16:50.852894</t>
  </si>
  <si>
    <t>My laptop's keyboard isn't working properly, some keys are stuck. Ago his against point garden drug.</t>
  </si>
  <si>
    <t>TICKET-1138</t>
  </si>
  <si>
    <t>2025-08-19 13:22:45.582681</t>
  </si>
  <si>
    <t>2025-08-20 12:41:10.440985</t>
  </si>
  <si>
    <t>Application X is crashing every time I open it. Any state food citizen.</t>
  </si>
  <si>
    <t>TICKET-1139</t>
  </si>
  <si>
    <t>2025-08-21 14:38:53.279509</t>
  </si>
  <si>
    <t>2025-08-27 10:24:42.699707</t>
  </si>
  <si>
    <t>Can't connect to the Wi-Fi. It's showing 'No internet access'. He particularly begin save area finally word.</t>
  </si>
  <si>
    <t>TICKET-1140</t>
  </si>
  <si>
    <t>2025-08-05 10:58:01.834961</t>
  </si>
  <si>
    <t>2025-08-06 01:50:40.805588</t>
  </si>
  <si>
    <t>My laptop's keyboard isn't working properly, some keys are stuck. Serious simply mind cost movie actually.</t>
  </si>
  <si>
    <t>TICKET-1141</t>
  </si>
  <si>
    <t>2025-08-18 10:22:03.058296</t>
  </si>
  <si>
    <t>2025-08-18 23:14:09.684128</t>
  </si>
  <si>
    <t>My laptop's keyboard isn't working properly, some keys are stuck. Social approach mother white.</t>
  </si>
  <si>
    <t>TICKET-1142</t>
  </si>
  <si>
    <t>2025-09-13 16:20:39.446588</t>
  </si>
  <si>
    <t>2025-09-14 21:34:39.418406</t>
  </si>
  <si>
    <t>Can't connect to the Wi-Fi. It's showing 'No internet access'. Enter room up sound nature.</t>
  </si>
  <si>
    <t>TICKET-1143</t>
  </si>
  <si>
    <t>2025-08-03 06:49:30.659490</t>
  </si>
  <si>
    <t>2025-08-06 22:49:37.159360</t>
  </si>
  <si>
    <t>My laptop's keyboard isn't working properly, some keys are stuck. Effort to since question.</t>
  </si>
  <si>
    <t>TICKET-1144</t>
  </si>
  <si>
    <t>2025-06-27 03:04:19.776603</t>
  </si>
  <si>
    <t>2025-06-27 15:18:05.829664</t>
  </si>
  <si>
    <t>Application X is crashing every time I open it. These drive president building.</t>
  </si>
  <si>
    <t>TICKET-1145</t>
  </si>
  <si>
    <t>2025-08-31 15:49:38.572353</t>
  </si>
  <si>
    <t>2025-08-31 17:50:13.508223</t>
  </si>
  <si>
    <t>Suddenly effort she without without.</t>
  </si>
  <si>
    <t>TICKET-1146</t>
  </si>
  <si>
    <t>2025-06-24 11:03:21.541487</t>
  </si>
  <si>
    <t>2025-06-24 18:54:19.222033</t>
  </si>
  <si>
    <t>Can't connect to the Wi-Fi. It's showing 'No internet access'. Should that nation can difficult nice.</t>
  </si>
  <si>
    <t>TICKET-1147</t>
  </si>
  <si>
    <t>2025-09-02 16:56:42.393280</t>
  </si>
  <si>
    <t>2025-09-06 05:01:09.248748</t>
  </si>
  <si>
    <t>Look scene real owner agent whose specific. Along they yourself character year or behind.</t>
  </si>
  <si>
    <t>TICKET-1148</t>
  </si>
  <si>
    <t>2025-07-16 14:22:14.076374</t>
  </si>
  <si>
    <t>2025-07-17 16:50:11.878671</t>
  </si>
  <si>
    <t>You reflect radio. Especially speech wish interesting wife.</t>
  </si>
  <si>
    <t>TICKET-1149</t>
  </si>
  <si>
    <t>2025-07-31 04:12:38.834236</t>
  </si>
  <si>
    <t>2025-08-01 04:13:25.379880</t>
  </si>
  <si>
    <t>My laptop's keyboard isn't working properly, some keys are stuck. Event pattern factor deep manager work.</t>
  </si>
  <si>
    <t>Row Labels</t>
  </si>
  <si>
    <t>Grand Total</t>
  </si>
  <si>
    <t>Sum of Average_resolution</t>
  </si>
  <si>
    <t>Count of ticket_id</t>
  </si>
  <si>
    <t>Ticket Volume Trends:</t>
  </si>
  <si>
    <t>2. Resolution Time Metrics</t>
  </si>
  <si>
    <t>Campare category vs avg resolution time</t>
  </si>
  <si>
    <t>Priority</t>
  </si>
  <si>
    <t>Priority vs average resolution time</t>
  </si>
  <si>
    <t>Day-week</t>
  </si>
  <si>
    <t>Keyword</t>
  </si>
  <si>
    <t xml:space="preserve">3.Top Description </t>
  </si>
  <si>
    <t>Mentions</t>
  </si>
  <si>
    <t>application</t>
  </si>
  <si>
    <t>crashing</t>
  </si>
  <si>
    <t>open</t>
  </si>
  <si>
    <t>laptop</t>
  </si>
  <si>
    <t>keyboard</t>
  </si>
  <si>
    <t>working</t>
  </si>
  <si>
    <t>properly</t>
  </si>
  <si>
    <t>some</t>
  </si>
  <si>
    <t>keys</t>
  </si>
  <si>
    <t>stuck</t>
  </si>
  <si>
    <t>connect</t>
  </si>
  <si>
    <t>showing</t>
  </si>
  <si>
    <t>internet</t>
  </si>
  <si>
    <t>access</t>
  </si>
  <si>
    <t>locked</t>
  </si>
  <si>
    <t>wifi</t>
  </si>
  <si>
    <t>Issue Theme</t>
  </si>
  <si>
    <t>Tickets</t>
  </si>
  <si>
    <t>Application crash / unable to open</t>
  </si>
  <si>
    <t>Other / general issue</t>
  </si>
  <si>
    <t>Laptop keyboard / keys</t>
  </si>
  <si>
    <t>Internet / connectivity</t>
  </si>
  <si>
    <t>Account / password access</t>
  </si>
  <si>
    <t>Recurring Issue Themes</t>
  </si>
  <si>
    <t>4. Analyst Performance:</t>
  </si>
  <si>
    <t>analyst</t>
  </si>
  <si>
    <t>Average of Resolution time</t>
  </si>
  <si>
    <t>Key Findings</t>
  </si>
  <si>
    <t>Overall average resolution</t>
  </si>
  <si>
    <t>53.3 hours</t>
  </si>
  <si>
    <t>Overall median resolution</t>
  </si>
  <si>
    <t>35.0 hours</t>
  </si>
  <si>
    <t>Tickets resolved &gt;24 hours</t>
  </si>
  <si>
    <t>94 (62.7%)</t>
  </si>
  <si>
    <t>Highest volume month</t>
  </si>
  <si>
    <t>Jul 2025 (51 tickets)</t>
  </si>
  <si>
    <t>Highest category average</t>
  </si>
  <si>
    <t>Security (97.8 hrs)</t>
  </si>
  <si>
    <t>Longest priority average</t>
  </si>
  <si>
    <t>Low (105.1 hrs)</t>
  </si>
  <si>
    <t>Fastest analyst average</t>
  </si>
  <si>
    <t>Toni Wiley (27.3 hrs)</t>
  </si>
  <si>
    <t>Highest analyst average</t>
  </si>
  <si>
    <t>Amanda White (82.2 hrs)</t>
  </si>
  <si>
    <t>Calculation Notes</t>
  </si>
  <si>
    <t>Resolution Time (hours)</t>
  </si>
  <si>
    <t>Day of Week</t>
  </si>
  <si>
    <t>Day extracted from submission date.</t>
  </si>
  <si>
    <t>Month-year extracted from submission date.</t>
  </si>
  <si>
    <t>Recurring issue theme classified from description keywords.</t>
  </si>
  <si>
    <t>(Submission_date*resolution_date)*24</t>
  </si>
  <si>
    <t>Hour extracted from submission date/time .</t>
  </si>
  <si>
    <t>Total tickets</t>
  </si>
  <si>
    <t>missing values</t>
  </si>
  <si>
    <r>
      <t xml:space="preserve">                           </t>
    </r>
    <r>
      <rPr>
        <b/>
        <sz val="22"/>
        <color theme="1"/>
        <rFont val="Algerian"/>
        <family val="5"/>
      </rPr>
      <t xml:space="preserve"> IT Help Desk Ticket Analysis</t>
    </r>
  </si>
  <si>
    <t>Monthly Ticket Volume</t>
  </si>
  <si>
    <t xml:space="preserve">Resolution Time Metrics: </t>
  </si>
  <si>
    <t>Executive Findings</t>
  </si>
  <si>
    <t>• July had the highest ticket volume: 51 tickets.</t>
  </si>
  <si>
    <t>• Overall average resolution time was 53.3 hours; median was 35.0 hours.</t>
  </si>
  <si>
    <t>• Security tickets had the longest category average (97.8 hours).</t>
  </si>
  <si>
    <t>• Low-priority tickets averaged 105.1 hours, much longer than higher priorities.</t>
  </si>
  <si>
    <t>• Analyst averages ranged from 27.3 to 82.2 hours; workload and ticket mix should be considered.</t>
  </si>
  <si>
    <t>Charts</t>
  </si>
  <si>
    <t>Recommendations</t>
  </si>
  <si>
    <r>
      <t>Automate password resets:</t>
    </r>
    <r>
      <rPr>
        <sz val="11"/>
        <color theme="1"/>
        <rFont val="Calibri"/>
        <family val="2"/>
        <scheme val="minor"/>
      </rPr>
      <t xml:space="preserve"> Implement a self-service password reset tool to reduce repetitive access-related tickets.</t>
    </r>
  </si>
  <si>
    <r>
      <t>Improve knowledge base:</t>
    </r>
    <r>
      <rPr>
        <sz val="11"/>
        <color theme="1"/>
        <rFont val="Calibri"/>
        <family val="2"/>
        <scheme val="minor"/>
      </rPr>
      <t xml:space="preserve"> Create step-by-step troubleshooting guides for frequently reported issues so users can resolve common problems without raising tickets.</t>
    </r>
  </si>
  <si>
    <r>
      <t>Prioritize high-priority tickets:</t>
    </r>
    <r>
      <rPr>
        <sz val="11"/>
        <color theme="1"/>
        <rFont val="Calibri"/>
        <family val="2"/>
        <scheme val="minor"/>
      </rPr>
      <t xml:space="preserve"> Establish clear escalation rules for high-priority issues to reduce resolution delays.</t>
    </r>
  </si>
  <si>
    <r>
      <t>Monitor ticket peak periods:</t>
    </r>
    <r>
      <rPr>
        <sz val="11"/>
        <color theme="1"/>
        <rFont val="Calibri"/>
        <family val="2"/>
        <scheme val="minor"/>
      </rPr>
      <t xml:space="preserve"> Allocate additional support resources during days, months, and hours with higher ticket volumes.</t>
    </r>
  </si>
  <si>
    <r>
      <t>Provide analyst training:</t>
    </r>
    <r>
      <rPr>
        <sz val="11"/>
        <color theme="1"/>
        <rFont val="Calibri"/>
        <family val="2"/>
        <scheme val="minor"/>
      </rPr>
      <t xml:space="preserve"> Review analysts with consistently higher average resolution times and provide targeted training or technical support where appropriate.</t>
    </r>
  </si>
  <si>
    <r>
      <t>Analyze recurring problems:</t>
    </r>
    <r>
      <rPr>
        <sz val="11"/>
        <color theme="1"/>
        <rFont val="Calibri"/>
        <family val="2"/>
        <scheme val="minor"/>
      </rPr>
      <t xml:space="preserve"> Regularly review ticket descriptions and frequently occurring keywords to identify recurring technical issues and address their underlying causes.</t>
    </r>
  </si>
  <si>
    <r>
      <t>Strengthen preventive maintenance:</t>
    </r>
    <r>
      <rPr>
        <sz val="11"/>
        <color theme="1"/>
        <rFont val="Calibri"/>
        <family val="2"/>
        <scheme val="minor"/>
      </rPr>
      <t xml:space="preserve"> Use recurring ticket patterns to identify systems or services that require preventive maintenance or configuration improvements.</t>
    </r>
  </si>
  <si>
    <r>
      <t>Track resolution-time KPIs:</t>
    </r>
    <r>
      <rPr>
        <sz val="11"/>
        <color theme="1"/>
        <rFont val="Calibri"/>
        <family val="2"/>
        <scheme val="minor"/>
      </rPr>
      <t xml:space="preserve"> Monitor average resolution time by category, priority, and analyst regularly to identify changes and improvement opportunities.</t>
    </r>
  </si>
  <si>
    <r>
      <t>Improve ticket categorization:</t>
    </r>
    <r>
      <rPr>
        <sz val="11"/>
        <color theme="1"/>
        <rFont val="Calibri"/>
        <family val="2"/>
        <scheme val="minor"/>
      </rPr>
      <t xml:space="preserve"> Standardize ticket categories and priorities so that issues can be routed to the appropriate support team more efficiently.</t>
    </r>
  </si>
  <si>
    <r>
      <t>Review performance monthly:</t>
    </r>
    <r>
      <rPr>
        <sz val="11"/>
        <color theme="1"/>
        <rFont val="Calibri"/>
        <family val="2"/>
        <scheme val="minor"/>
      </rPr>
      <t xml:space="preserve"> Create a monthly IT support review covering ticket volume, resolution time, recurring issues, and analyst workload.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</si>
</sst>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Algerian"/>
      <family val="5"/>
    </font>
    <font>
      <b/>
      <u/>
      <sz val="12"/>
      <color theme="1"/>
      <name val="Arial Black"/>
      <family val="2"/>
    </font>
    <font>
      <b/>
      <u/>
      <sz val="11"/>
      <color theme="1"/>
      <name val="Arial Black"/>
      <family val="2"/>
    </font>
    <font>
      <u/>
      <sz val="12"/>
      <color theme="1"/>
      <name val="Arial Black"/>
      <family val="2"/>
    </font>
    <font>
      <u/>
      <sz val="11"/>
      <color theme="1"/>
      <name val="Arial Black"/>
      <family val="2"/>
    </font>
    <font>
      <sz val="12"/>
      <name val="Calibri"/>
      <family val="2"/>
    </font>
    <font>
      <b/>
      <sz val="14"/>
      <color rgb="FFFFFFFF"/>
      <name val="Calibri"/>
      <family val="2"/>
    </font>
    <font>
      <b/>
      <u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2F75B5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5" fillId="5" borderId="0" xfId="0" applyFont="1" applyFill="1" applyAlignment="1">
      <alignment horizontal="left"/>
    </xf>
    <xf numFmtId="0" fontId="7" fillId="4" borderId="0" xfId="0" applyFont="1" applyFill="1"/>
    <xf numFmtId="0" fontId="0" fillId="0" borderId="0" xfId="0" applyAlignment="1">
      <alignment vertical="top" wrapText="1"/>
    </xf>
    <xf numFmtId="0" fontId="0" fillId="8" borderId="0" xfId="0" applyFill="1"/>
    <xf numFmtId="0" fontId="11" fillId="7" borderId="0" xfId="0" applyFont="1" applyFill="1"/>
    <xf numFmtId="0" fontId="12" fillId="7" borderId="0" xfId="0" applyFont="1" applyFill="1"/>
    <xf numFmtId="0" fontId="13" fillId="7" borderId="0" xfId="0" applyFont="1" applyFill="1"/>
    <xf numFmtId="0" fontId="14" fillId="7" borderId="0" xfId="0" applyFont="1" applyFill="1"/>
    <xf numFmtId="0" fontId="0" fillId="9" borderId="0" xfId="0" applyFill="1"/>
    <xf numFmtId="0" fontId="0" fillId="9" borderId="0" xfId="0" applyFill="1" applyAlignment="1">
      <alignment horizontal="left"/>
    </xf>
    <xf numFmtId="0" fontId="17" fillId="9" borderId="0" xfId="0" applyFont="1" applyFill="1"/>
    <xf numFmtId="0" fontId="9" fillId="9" borderId="0" xfId="0" applyFont="1" applyFill="1"/>
    <xf numFmtId="0" fontId="0" fillId="9" borderId="0" xfId="0" applyFill="1" applyAlignment="1">
      <alignment horizontal="right" vertical="top"/>
    </xf>
    <xf numFmtId="0" fontId="11" fillId="9" borderId="0" xfId="0" applyFont="1" applyFill="1"/>
    <xf numFmtId="0" fontId="12" fillId="9" borderId="0" xfId="0" applyFont="1" applyFill="1"/>
    <xf numFmtId="0" fontId="13" fillId="9" borderId="0" xfId="0" applyFont="1" applyFill="1"/>
    <xf numFmtId="0" fontId="14" fillId="9" borderId="0" xfId="0" applyFont="1" applyFill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6" fillId="6" borderId="0" xfId="0" applyFont="1" applyFill="1" applyAlignment="1">
      <alignment horizontal="left"/>
    </xf>
    <xf numFmtId="0" fontId="0" fillId="6" borderId="0" xfId="0" applyFill="1"/>
    <xf numFmtId="0" fontId="15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18">
    <dxf>
      <numFmt numFmtId="27" formatCode="dd/mm/yyyy\ h:mm"/>
    </dxf>
    <dxf>
      <numFmt numFmtId="27" formatCode="dd/mm/yyyy\ h:mm"/>
    </dxf>
    <dxf>
      <numFmt numFmtId="0" formatCode="General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rial Black" panose="020B0A04020102020204" pitchFamily="34" charset="0"/>
              </a:rPr>
              <a:t>Monthly</a:t>
            </a:r>
            <a:r>
              <a:rPr lang="en-US" sz="1200" baseline="0">
                <a:latin typeface="Arial Black" panose="020B0A04020102020204" pitchFamily="34" charset="0"/>
              </a:rPr>
              <a:t> trend</a:t>
            </a:r>
            <a:endParaRPr lang="en-US" sz="1200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27322546220184013"/>
          <c:y val="7.7308773726988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'Detailed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Analysis'!$A$4:$A$8</c:f>
              <c:strCache>
                <c:ptCount val="4"/>
                <c:pt idx="0">
                  <c:v>2025-06</c:v>
                </c:pt>
                <c:pt idx="1">
                  <c:v>2025-07</c:v>
                </c:pt>
                <c:pt idx="2">
                  <c:v>2025-08</c:v>
                </c:pt>
                <c:pt idx="3">
                  <c:v>2025-09</c:v>
                </c:pt>
              </c:strCache>
            </c:strRef>
          </c:cat>
          <c:val>
            <c:numRef>
              <c:f>'Detailed Analysis'!$B$4:$B$8</c:f>
              <c:numCache>
                <c:formatCode>General</c:formatCode>
                <c:ptCount val="4"/>
                <c:pt idx="0">
                  <c:v>27</c:v>
                </c:pt>
                <c:pt idx="1">
                  <c:v>51</c:v>
                </c:pt>
                <c:pt idx="2">
                  <c:v>45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C-4F3A-8E55-E268FCE6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333952"/>
        <c:axId val="1432580304"/>
      </c:lineChart>
      <c:catAx>
        <c:axId val="14813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80304"/>
        <c:crosses val="autoZero"/>
        <c:auto val="1"/>
        <c:lblAlgn val="ctr"/>
        <c:lblOffset val="100"/>
        <c:noMultiLvlLbl val="0"/>
      </c:catAx>
      <c:valAx>
        <c:axId val="14325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rial Black" panose="020B0A04020102020204" pitchFamily="34" charset="0"/>
              </a:rPr>
              <a:t>Day_wise</a:t>
            </a:r>
            <a:r>
              <a:rPr lang="en-US" sz="1200" baseline="0">
                <a:latin typeface="Arial Black" panose="020B0A04020102020204" pitchFamily="34" charset="0"/>
              </a:rPr>
              <a:t> </a:t>
            </a:r>
            <a:endParaRPr lang="en-US" sz="1200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34559090695666933"/>
          <c:y val="7.9495040995981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888593481822508E-2"/>
          <c:y val="0.36552654599435375"/>
          <c:w val="0.6844177882937047"/>
          <c:h val="0.3134632482122878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'Detailed Analysis'!$E$3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Analysis'!$D$4:$D$11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'Detailed Analysis'!$E$4:$E$11</c:f>
              <c:numCache>
                <c:formatCode>General</c:formatCode>
                <c:ptCount val="7"/>
                <c:pt idx="0">
                  <c:v>26</c:v>
                </c:pt>
                <c:pt idx="1">
                  <c:v>19</c:v>
                </c:pt>
                <c:pt idx="2">
                  <c:v>22</c:v>
                </c:pt>
                <c:pt idx="3">
                  <c:v>24</c:v>
                </c:pt>
                <c:pt idx="4">
                  <c:v>23</c:v>
                </c:pt>
                <c:pt idx="5">
                  <c:v>16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F-45F6-BCC3-4F1B5B7DCC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48008160"/>
        <c:axId val="1432612464"/>
        <c:axId val="0"/>
      </c:bar3DChart>
      <c:catAx>
        <c:axId val="14480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12464"/>
        <c:crosses val="autoZero"/>
        <c:auto val="1"/>
        <c:lblAlgn val="ctr"/>
        <c:lblOffset val="100"/>
        <c:noMultiLvlLbl val="0"/>
      </c:catAx>
      <c:valAx>
        <c:axId val="14326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0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Arial Black" panose="020B0A04020102020204" pitchFamily="34" charset="0"/>
              </a:rPr>
              <a:t>Hour</a:t>
            </a:r>
          </a:p>
        </c:rich>
      </c:tx>
      <c:layout>
        <c:manualLayout>
          <c:xMode val="edge"/>
          <c:yMode val="edge"/>
          <c:x val="0.40067814469894303"/>
          <c:y val="8.808124199261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469816272965877E-2"/>
          <c:y val="0.26328484981044037"/>
          <c:w val="0.78645603674540687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'Detailed Analysis'!$I$3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Analysis'!$H$4:$H$28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'Detailed Analysis'!$I$4:$I$28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9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9</c:v>
                </c:pt>
                <c:pt idx="18">
                  <c:v>4</c:v>
                </c:pt>
                <c:pt idx="19">
                  <c:v>7</c:v>
                </c:pt>
                <c:pt idx="20">
                  <c:v>8</c:v>
                </c:pt>
                <c:pt idx="21">
                  <c:v>6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1-4356-A5C6-B5C82B3C08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45200208"/>
        <c:axId val="1432509264"/>
        <c:axId val="0"/>
      </c:bar3DChart>
      <c:catAx>
        <c:axId val="14452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09264"/>
        <c:crosses val="autoZero"/>
        <c:auto val="1"/>
        <c:lblAlgn val="ctr"/>
        <c:lblOffset val="100"/>
        <c:noMultiLvlLbl val="0"/>
      </c:catAx>
      <c:valAx>
        <c:axId val="143250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Arial Black" panose="020B0A04020102020204" pitchFamily="34" charset="0"/>
              </a:rPr>
              <a:t>Category</a:t>
            </a:r>
          </a:p>
        </c:rich>
      </c:tx>
      <c:layout>
        <c:manualLayout>
          <c:xMode val="edge"/>
          <c:yMode val="edge"/>
          <c:x val="0.33684931506849308"/>
          <c:y val="0.10774523735404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Analysis'!$L$4:$L$11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'Detailed Analysis'!$M$4:$M$11</c:f>
              <c:numCache>
                <c:formatCode>General</c:formatCode>
                <c:ptCount val="7"/>
                <c:pt idx="0">
                  <c:v>44.386833330933335</c:v>
                </c:pt>
                <c:pt idx="1">
                  <c:v>62.616180556416673</c:v>
                </c:pt>
                <c:pt idx="2">
                  <c:v>42.636678237875003</c:v>
                </c:pt>
                <c:pt idx="3">
                  <c:v>50.114444442173912</c:v>
                </c:pt>
                <c:pt idx="4">
                  <c:v>51.542885805777772</c:v>
                </c:pt>
                <c:pt idx="5">
                  <c:v>97.824166688428562</c:v>
                </c:pt>
                <c:pt idx="6">
                  <c:v>54.683197169862723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2-4ABA-906B-2C90465EC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290800"/>
        <c:axId val="1245684768"/>
      </c:barChart>
      <c:catAx>
        <c:axId val="148129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84768"/>
        <c:crosses val="autoZero"/>
        <c:auto val="1"/>
        <c:lblAlgn val="ctr"/>
        <c:lblOffset val="100"/>
        <c:noMultiLvlLbl val="0"/>
      </c:catAx>
      <c:valAx>
        <c:axId val="12456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Arial Black" panose="020B0A04020102020204" pitchFamily="34" charset="0"/>
              </a:rPr>
              <a:t>Priority</a:t>
            </a:r>
          </a:p>
        </c:rich>
      </c:tx>
      <c:layout>
        <c:manualLayout>
          <c:xMode val="edge"/>
          <c:yMode val="edge"/>
          <c:x val="0.39056069051482867"/>
          <c:y val="9.297926827972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Analysis'!$O$4:$O$8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'Detailed Analysis'!$P$4:$P$8</c:f>
              <c:numCache>
                <c:formatCode>General</c:formatCode>
                <c:ptCount val="4"/>
                <c:pt idx="0">
                  <c:v>185.41915313000001</c:v>
                </c:pt>
                <c:pt idx="1">
                  <c:v>1315.9731715299997</c:v>
                </c:pt>
                <c:pt idx="2">
                  <c:v>3048.5678302399997</c:v>
                </c:pt>
                <c:pt idx="3">
                  <c:v>3169.83240015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B-4257-99AC-53287B5CC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399840"/>
        <c:axId val="1432586544"/>
      </c:barChart>
      <c:catAx>
        <c:axId val="148139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86544"/>
        <c:crosses val="autoZero"/>
        <c:auto val="1"/>
        <c:lblAlgn val="ctr"/>
        <c:lblOffset val="100"/>
        <c:noMultiLvlLbl val="0"/>
      </c:catAx>
      <c:valAx>
        <c:axId val="143258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9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Analysis!PivotTable17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Analysis'!$AI$4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Analysis'!$AH$5:$AH$15</c:f>
              <c:strCache>
                <c:ptCount val="10"/>
                <c:pt idx="0">
                  <c:v>Adam Stone</c:v>
                </c:pt>
                <c:pt idx="1">
                  <c:v>Amanda White</c:v>
                </c:pt>
                <c:pt idx="2">
                  <c:v>Autumn Ryan</c:v>
                </c:pt>
                <c:pt idx="3">
                  <c:v>Cynthia Rich</c:v>
                </c:pt>
                <c:pt idx="4">
                  <c:v>Janice Burns</c:v>
                </c:pt>
                <c:pt idx="5">
                  <c:v>Marvin West</c:v>
                </c:pt>
                <c:pt idx="6">
                  <c:v>Natasha Harris</c:v>
                </c:pt>
                <c:pt idx="7">
                  <c:v>Sheila Ball</c:v>
                </c:pt>
                <c:pt idx="8">
                  <c:v>Tanya Jones</c:v>
                </c:pt>
                <c:pt idx="9">
                  <c:v>Toni Wiley</c:v>
                </c:pt>
              </c:strCache>
            </c:strRef>
          </c:cat>
          <c:val>
            <c:numRef>
              <c:f>'Detailed Analysis'!$AI$5:$AI$15</c:f>
              <c:numCache>
                <c:formatCode>General</c:formatCode>
                <c:ptCount val="10"/>
                <c:pt idx="0">
                  <c:v>46.389947921437511</c:v>
                </c:pt>
                <c:pt idx="1">
                  <c:v>82.225629631399983</c:v>
                </c:pt>
                <c:pt idx="2">
                  <c:v>72.610424843647067</c:v>
                </c:pt>
                <c:pt idx="3">
                  <c:v>50.214689542882354</c:v>
                </c:pt>
                <c:pt idx="4">
                  <c:v>35.375341880923074</c:v>
                </c:pt>
                <c:pt idx="5">
                  <c:v>64.43333332025</c:v>
                </c:pt>
                <c:pt idx="6">
                  <c:v>33.453888889142853</c:v>
                </c:pt>
                <c:pt idx="7">
                  <c:v>66.843576388937493</c:v>
                </c:pt>
                <c:pt idx="8">
                  <c:v>47.042530865148144</c:v>
                </c:pt>
                <c:pt idx="9">
                  <c:v>27.262420635785713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FD7-B690-AC2A939C89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1801744"/>
        <c:axId val="1010849584"/>
      </c:barChart>
      <c:catAx>
        <c:axId val="10218017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49584"/>
        <c:crosses val="autoZero"/>
        <c:auto val="1"/>
        <c:lblAlgn val="ctr"/>
        <c:lblOffset val="100"/>
        <c:noMultiLvlLbl val="0"/>
      </c:catAx>
      <c:valAx>
        <c:axId val="101084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100">
                <a:latin typeface="Arial Black" panose="020B0A04020102020204" pitchFamily="34" charset="0"/>
              </a:rPr>
              <a:t>Category</a:t>
            </a:r>
            <a:r>
              <a:rPr lang="en-US" sz="1100" baseline="0">
                <a:latin typeface="Arial Black" panose="020B0A04020102020204" pitchFamily="34" charset="0"/>
              </a:rPr>
              <a:t> by analyst</a:t>
            </a:r>
            <a:endParaRPr lang="en-US" sz="1100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3103074615673041"/>
          <c:y val="0.11331617758069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Analysis'!$L$4:$L$11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'Detailed Analysis'!$M$4:$M$11</c:f>
              <c:numCache>
                <c:formatCode>General</c:formatCode>
                <c:ptCount val="7"/>
                <c:pt idx="0">
                  <c:v>44.386833330933335</c:v>
                </c:pt>
                <c:pt idx="1">
                  <c:v>62.616180556416673</c:v>
                </c:pt>
                <c:pt idx="2">
                  <c:v>42.636678237875003</c:v>
                </c:pt>
                <c:pt idx="3">
                  <c:v>50.114444442173912</c:v>
                </c:pt>
                <c:pt idx="4">
                  <c:v>51.542885805777772</c:v>
                </c:pt>
                <c:pt idx="5">
                  <c:v>97.824166688428562</c:v>
                </c:pt>
                <c:pt idx="6">
                  <c:v>54.683197169862723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6-431C-ABE1-F6CF18E1C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290800"/>
        <c:axId val="1245684768"/>
      </c:barChart>
      <c:catAx>
        <c:axId val="148129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84768"/>
        <c:crosses val="autoZero"/>
        <c:auto val="1"/>
        <c:lblAlgn val="ctr"/>
        <c:lblOffset val="100"/>
        <c:noMultiLvlLbl val="0"/>
      </c:catAx>
      <c:valAx>
        <c:axId val="12456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Analysis!PivotTable17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Analysis'!$AI$4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Analysis'!$AH$5:$AH$15</c:f>
              <c:strCache>
                <c:ptCount val="10"/>
                <c:pt idx="0">
                  <c:v>Adam Stone</c:v>
                </c:pt>
                <c:pt idx="1">
                  <c:v>Amanda White</c:v>
                </c:pt>
                <c:pt idx="2">
                  <c:v>Autumn Ryan</c:v>
                </c:pt>
                <c:pt idx="3">
                  <c:v>Cynthia Rich</c:v>
                </c:pt>
                <c:pt idx="4">
                  <c:v>Janice Burns</c:v>
                </c:pt>
                <c:pt idx="5">
                  <c:v>Marvin West</c:v>
                </c:pt>
                <c:pt idx="6">
                  <c:v>Natasha Harris</c:v>
                </c:pt>
                <c:pt idx="7">
                  <c:v>Sheila Ball</c:v>
                </c:pt>
                <c:pt idx="8">
                  <c:v>Tanya Jones</c:v>
                </c:pt>
                <c:pt idx="9">
                  <c:v>Toni Wiley</c:v>
                </c:pt>
              </c:strCache>
            </c:strRef>
          </c:cat>
          <c:val>
            <c:numRef>
              <c:f>'Detailed Analysis'!$AI$5:$AI$15</c:f>
              <c:numCache>
                <c:formatCode>General</c:formatCode>
                <c:ptCount val="10"/>
                <c:pt idx="0">
                  <c:v>46.389947921437511</c:v>
                </c:pt>
                <c:pt idx="1">
                  <c:v>82.225629631399983</c:v>
                </c:pt>
                <c:pt idx="2">
                  <c:v>72.610424843647067</c:v>
                </c:pt>
                <c:pt idx="3">
                  <c:v>50.214689542882354</c:v>
                </c:pt>
                <c:pt idx="4">
                  <c:v>35.375341880923074</c:v>
                </c:pt>
                <c:pt idx="5">
                  <c:v>64.43333332025</c:v>
                </c:pt>
                <c:pt idx="6">
                  <c:v>33.453888889142853</c:v>
                </c:pt>
                <c:pt idx="7">
                  <c:v>66.843576388937493</c:v>
                </c:pt>
                <c:pt idx="8">
                  <c:v>47.042530865148144</c:v>
                </c:pt>
                <c:pt idx="9">
                  <c:v>27.262420635785713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6-4A41-9210-A2B5F67605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1801744"/>
        <c:axId val="1010849584"/>
      </c:barChart>
      <c:catAx>
        <c:axId val="10218017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49584"/>
        <c:crosses val="autoZero"/>
        <c:auto val="1"/>
        <c:lblAlgn val="ctr"/>
        <c:lblOffset val="100"/>
        <c:noMultiLvlLbl val="0"/>
      </c:catAx>
      <c:valAx>
        <c:axId val="101084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Analysis'!$L$4:$L$11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'Detailed Analysis'!$M$4:$M$11</c:f>
              <c:numCache>
                <c:formatCode>General</c:formatCode>
                <c:ptCount val="7"/>
                <c:pt idx="0">
                  <c:v>44.386833330933335</c:v>
                </c:pt>
                <c:pt idx="1">
                  <c:v>62.616180556416673</c:v>
                </c:pt>
                <c:pt idx="2">
                  <c:v>42.636678237875003</c:v>
                </c:pt>
                <c:pt idx="3">
                  <c:v>50.114444442173912</c:v>
                </c:pt>
                <c:pt idx="4">
                  <c:v>51.542885805777772</c:v>
                </c:pt>
                <c:pt idx="5">
                  <c:v>97.824166688428562</c:v>
                </c:pt>
                <c:pt idx="6">
                  <c:v>54.683197169862723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D-41E4-A6C4-D3E9391E8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290800"/>
        <c:axId val="1245684768"/>
      </c:barChart>
      <c:catAx>
        <c:axId val="148129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84768"/>
        <c:crosses val="autoZero"/>
        <c:auto val="1"/>
        <c:lblAlgn val="ctr"/>
        <c:lblOffset val="100"/>
        <c:noMultiLvlLbl val="0"/>
      </c:catAx>
      <c:valAx>
        <c:axId val="12456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'Detailed Analysis'!$O$4:$O$8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'Detailed Analysis'!$P$4:$P$8</c:f>
              <c:numCache>
                <c:formatCode>General</c:formatCode>
                <c:ptCount val="4"/>
                <c:pt idx="0">
                  <c:v>185.41915313000001</c:v>
                </c:pt>
                <c:pt idx="1">
                  <c:v>1315.9731715299997</c:v>
                </c:pt>
                <c:pt idx="2">
                  <c:v>3048.5678302399997</c:v>
                </c:pt>
                <c:pt idx="3">
                  <c:v>3169.83240015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B-47F2-BB8D-4FAC61D2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399840"/>
        <c:axId val="1432586544"/>
      </c:barChart>
      <c:catAx>
        <c:axId val="148139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86544"/>
        <c:crosses val="autoZero"/>
        <c:auto val="1"/>
        <c:lblAlgn val="ctr"/>
        <c:lblOffset val="100"/>
        <c:noMultiLvlLbl val="0"/>
      </c:catAx>
      <c:valAx>
        <c:axId val="143258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9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'Detailed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Analysis'!$A$4:$A$8</c:f>
              <c:strCache>
                <c:ptCount val="4"/>
                <c:pt idx="0">
                  <c:v>2025-06</c:v>
                </c:pt>
                <c:pt idx="1">
                  <c:v>2025-07</c:v>
                </c:pt>
                <c:pt idx="2">
                  <c:v>2025-08</c:v>
                </c:pt>
                <c:pt idx="3">
                  <c:v>2025-09</c:v>
                </c:pt>
              </c:strCache>
            </c:strRef>
          </c:cat>
          <c:val>
            <c:numRef>
              <c:f>'Detailed Analysis'!$B$4:$B$8</c:f>
              <c:numCache>
                <c:formatCode>General</c:formatCode>
                <c:ptCount val="4"/>
                <c:pt idx="0">
                  <c:v>27</c:v>
                </c:pt>
                <c:pt idx="1">
                  <c:v>51</c:v>
                </c:pt>
                <c:pt idx="2">
                  <c:v>45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F-43E4-A86D-0C1364247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333952"/>
        <c:axId val="1432580304"/>
      </c:lineChart>
      <c:catAx>
        <c:axId val="14813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80304"/>
        <c:crosses val="autoZero"/>
        <c:auto val="1"/>
        <c:lblAlgn val="ctr"/>
        <c:lblOffset val="100"/>
        <c:noMultiLvlLbl val="0"/>
      </c:catAx>
      <c:valAx>
        <c:axId val="14325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395459188291123E-2"/>
          <c:y val="0.323444233166154"/>
          <c:w val="0.6844177882937047"/>
          <c:h val="0.3134632482122878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'Detailed Analysis'!$E$3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Analysis'!$D$4:$D$11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'Detailed Analysis'!$E$4:$E$11</c:f>
              <c:numCache>
                <c:formatCode>General</c:formatCode>
                <c:ptCount val="7"/>
                <c:pt idx="0">
                  <c:v>26</c:v>
                </c:pt>
                <c:pt idx="1">
                  <c:v>19</c:v>
                </c:pt>
                <c:pt idx="2">
                  <c:v>22</c:v>
                </c:pt>
                <c:pt idx="3">
                  <c:v>24</c:v>
                </c:pt>
                <c:pt idx="4">
                  <c:v>23</c:v>
                </c:pt>
                <c:pt idx="5">
                  <c:v>16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C-437B-92DF-27ADC13EE9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48008160"/>
        <c:axId val="1432612464"/>
        <c:axId val="0"/>
      </c:bar3DChart>
      <c:catAx>
        <c:axId val="14480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612464"/>
        <c:crosses val="autoZero"/>
        <c:auto val="1"/>
        <c:lblAlgn val="ctr"/>
        <c:lblOffset val="100"/>
        <c:noMultiLvlLbl val="0"/>
      </c:catAx>
      <c:valAx>
        <c:axId val="14326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0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469816272965877E-2"/>
          <c:y val="0.26328484981044037"/>
          <c:w val="0.78645603674540687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'Detailed Analysis'!$I$3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Analysis'!$H$4:$H$28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'Detailed Analysis'!$I$4:$I$28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9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9</c:v>
                </c:pt>
                <c:pt idx="18">
                  <c:v>4</c:v>
                </c:pt>
                <c:pt idx="19">
                  <c:v>7</c:v>
                </c:pt>
                <c:pt idx="20">
                  <c:v>8</c:v>
                </c:pt>
                <c:pt idx="21">
                  <c:v>6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D-4639-A5B0-81D4F37A93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45200208"/>
        <c:axId val="1432509264"/>
        <c:axId val="0"/>
      </c:bar3DChart>
      <c:catAx>
        <c:axId val="14452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09264"/>
        <c:crosses val="autoZero"/>
        <c:auto val="1"/>
        <c:lblAlgn val="ctr"/>
        <c:lblOffset val="100"/>
        <c:noMultiLvlLbl val="0"/>
      </c:catAx>
      <c:valAx>
        <c:axId val="143250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[day5.xlsx]Detailed Analysis!PivotTable17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'Detailed Analysis'!$AI$4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'Detailed Analysis'!$AH$5:$AH$15</c:f>
              <c:strCache>
                <c:ptCount val="10"/>
                <c:pt idx="0">
                  <c:v>Adam Stone</c:v>
                </c:pt>
                <c:pt idx="1">
                  <c:v>Amanda White</c:v>
                </c:pt>
                <c:pt idx="2">
                  <c:v>Autumn Ryan</c:v>
                </c:pt>
                <c:pt idx="3">
                  <c:v>Cynthia Rich</c:v>
                </c:pt>
                <c:pt idx="4">
                  <c:v>Janice Burns</c:v>
                </c:pt>
                <c:pt idx="5">
                  <c:v>Marvin West</c:v>
                </c:pt>
                <c:pt idx="6">
                  <c:v>Natasha Harris</c:v>
                </c:pt>
                <c:pt idx="7">
                  <c:v>Sheila Ball</c:v>
                </c:pt>
                <c:pt idx="8">
                  <c:v>Tanya Jones</c:v>
                </c:pt>
                <c:pt idx="9">
                  <c:v>Toni Wiley</c:v>
                </c:pt>
              </c:strCache>
            </c:strRef>
          </c:cat>
          <c:val>
            <c:numRef>
              <c:f>'Detailed Analysis'!$AI$5:$AI$15</c:f>
              <c:numCache>
                <c:formatCode>General</c:formatCode>
                <c:ptCount val="10"/>
                <c:pt idx="0">
                  <c:v>46.389947921437511</c:v>
                </c:pt>
                <c:pt idx="1">
                  <c:v>82.225629631399983</c:v>
                </c:pt>
                <c:pt idx="2">
                  <c:v>72.610424843647067</c:v>
                </c:pt>
                <c:pt idx="3">
                  <c:v>50.214689542882354</c:v>
                </c:pt>
                <c:pt idx="4">
                  <c:v>35.375341880923074</c:v>
                </c:pt>
                <c:pt idx="5">
                  <c:v>64.43333332025</c:v>
                </c:pt>
                <c:pt idx="6">
                  <c:v>33.453888889142853</c:v>
                </c:pt>
                <c:pt idx="7">
                  <c:v>66.843576388937493</c:v>
                </c:pt>
                <c:pt idx="8">
                  <c:v>47.042530865148144</c:v>
                </c:pt>
                <c:pt idx="9">
                  <c:v>27.262420635785713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F-424C-89AE-04A162EC6D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1801744"/>
        <c:axId val="1010849584"/>
      </c:barChart>
      <c:catAx>
        <c:axId val="10218017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49584"/>
        <c:crosses val="autoZero"/>
        <c:auto val="1"/>
        <c:lblAlgn val="ctr"/>
        <c:lblOffset val="100"/>
        <c:noMultiLvlLbl val="0"/>
      </c:catAx>
      <c:valAx>
        <c:axId val="101084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137160</xdr:rowOff>
    </xdr:from>
    <xdr:to>
      <xdr:col>3</xdr:col>
      <xdr:colOff>335280</xdr:colOff>
      <xdr:row>4</xdr:row>
      <xdr:rowOff>167640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26AE20D-F92B-70DF-7EAA-E648A1C2A39D}"/>
            </a:ext>
          </a:extLst>
        </xdr:cNvPr>
        <xdr:cNvSpPr/>
      </xdr:nvSpPr>
      <xdr:spPr>
        <a:xfrm>
          <a:off x="0" y="533400"/>
          <a:ext cx="2788920" cy="57912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1" algn="l"/>
          <a:r>
            <a:rPr lang="en-IN" sz="12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Total Tickets</a:t>
          </a:r>
          <a:r>
            <a:rPr lang="en-IN" sz="1200">
              <a:effectLst/>
              <a:latin typeface="Algerian" panose="04020705040A02060702" pitchFamily="82" charset="0"/>
            </a:rPr>
            <a:t> </a:t>
          </a:r>
        </a:p>
        <a:p>
          <a:pPr lvl="1" algn="l"/>
          <a:r>
            <a:rPr lang="en-IN" sz="12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150</a:t>
          </a:r>
          <a:r>
            <a:rPr lang="en-IN" sz="1200">
              <a:effectLst/>
              <a:latin typeface="Algerian" panose="04020705040A02060702" pitchFamily="82" charset="0"/>
            </a:rPr>
            <a:t> 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281940</xdr:colOff>
      <xdr:row>1</xdr:row>
      <xdr:rowOff>129540</xdr:rowOff>
    </xdr:from>
    <xdr:to>
      <xdr:col>7</xdr:col>
      <xdr:colOff>746760</xdr:colOff>
      <xdr:row>5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E1CCA9B-718D-4857-8ABA-A1DB4E4BD8A5}"/>
            </a:ext>
          </a:extLst>
        </xdr:cNvPr>
        <xdr:cNvSpPr/>
      </xdr:nvSpPr>
      <xdr:spPr>
        <a:xfrm>
          <a:off x="3528060" y="525780"/>
          <a:ext cx="2788920" cy="60198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indent="0" algn="ctr"/>
          <a:r>
            <a:rPr lang="en-IN" sz="12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Avg Resolution </a:t>
          </a:r>
        </a:p>
        <a:p>
          <a:pPr indent="0" algn="ctr"/>
          <a:r>
            <a:rPr lang="en-IN" sz="12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53.3 </a:t>
          </a:r>
        </a:p>
        <a:p>
          <a:pPr indent="0" algn="l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1630680</xdr:colOff>
      <xdr:row>1</xdr:row>
      <xdr:rowOff>106680</xdr:rowOff>
    </xdr:from>
    <xdr:to>
      <xdr:col>11</xdr:col>
      <xdr:colOff>1615440</xdr:colOff>
      <xdr:row>5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0889A1A-60A7-4E79-8065-541AEEE484FE}"/>
            </a:ext>
          </a:extLst>
        </xdr:cNvPr>
        <xdr:cNvSpPr/>
      </xdr:nvSpPr>
      <xdr:spPr>
        <a:xfrm>
          <a:off x="7200900" y="502920"/>
          <a:ext cx="3238500" cy="6477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indent="0" algn="ctr"/>
          <a:r>
            <a:rPr lang="en-IN" sz="14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Median Resolution </a:t>
          </a:r>
        </a:p>
        <a:p>
          <a:pPr indent="0" algn="ctr"/>
          <a:r>
            <a:rPr lang="en-IN" sz="14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35.0 </a:t>
          </a:r>
        </a:p>
        <a:p>
          <a:pPr indent="0" algn="l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32</xdr:row>
      <xdr:rowOff>111318</xdr:rowOff>
    </xdr:from>
    <xdr:to>
      <xdr:col>3</xdr:col>
      <xdr:colOff>320040</xdr:colOff>
      <xdr:row>42</xdr:row>
      <xdr:rowOff>53339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B48DB2-6996-4A9C-9620-B2CB7FDE0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401210</xdr:colOff>
      <xdr:row>32</xdr:row>
      <xdr:rowOff>114300</xdr:rowOff>
    </xdr:from>
    <xdr:to>
      <xdr:col>7</xdr:col>
      <xdr:colOff>53340</xdr:colOff>
      <xdr:row>42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A5ABAB-52E9-4052-B2E0-F6F230BF5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289561</xdr:colOff>
      <xdr:row>32</xdr:row>
      <xdr:rowOff>92268</xdr:rowOff>
    </xdr:from>
    <xdr:to>
      <xdr:col>10</xdr:col>
      <xdr:colOff>594361</xdr:colOff>
      <xdr:row>42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8E8A60-F1BB-4B41-8697-FFB31C50F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44</xdr:row>
      <xdr:rowOff>14577</xdr:rowOff>
    </xdr:from>
    <xdr:to>
      <xdr:col>3</xdr:col>
      <xdr:colOff>327660</xdr:colOff>
      <xdr:row>54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D224BF-44C6-4160-B7FF-E541F07C3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431028</xdr:colOff>
      <xdr:row>44</xdr:row>
      <xdr:rowOff>38100</xdr:rowOff>
    </xdr:from>
    <xdr:to>
      <xdr:col>7</xdr:col>
      <xdr:colOff>205740</xdr:colOff>
      <xdr:row>54</xdr:row>
      <xdr:rowOff>91440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74D00AB-CA5A-456E-AA34-0B22624A0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459520</xdr:colOff>
      <xdr:row>45</xdr:row>
      <xdr:rowOff>156872</xdr:rowOff>
    </xdr:from>
    <xdr:to>
      <xdr:col>35</xdr:col>
      <xdr:colOff>421207</xdr:colOff>
      <xdr:row>58</xdr:row>
      <xdr:rowOff>136625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29C3A9-4412-45D9-B777-D5928C6C2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419101</xdr:colOff>
      <xdr:row>44</xdr:row>
      <xdr:rowOff>29817</xdr:rowOff>
    </xdr:from>
    <xdr:to>
      <xdr:col>10</xdr:col>
      <xdr:colOff>624841</xdr:colOff>
      <xdr:row>53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9B8848E-3843-4F4B-B4CE-43D88E3B4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490000</xdr:colOff>
      <xdr:row>49</xdr:row>
      <xdr:rowOff>42572</xdr:rowOff>
    </xdr:from>
    <xdr:to>
      <xdr:col>49</xdr:col>
      <xdr:colOff>488342</xdr:colOff>
      <xdr:row>64</xdr:row>
      <xdr:rowOff>37603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D5FF67-6E7A-4BB6-BF03-F6527385E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13</xdr:row>
      <xdr:rowOff>19050</xdr:rowOff>
    </xdr:from>
    <xdr:to>
      <xdr:col>13</xdr:col>
      <xdr:colOff>228600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A0548-2C38-BB1B-576F-7EA9E8F4A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</xdr:colOff>
      <xdr:row>12</xdr:row>
      <xdr:rowOff>140970</xdr:rowOff>
    </xdr:from>
    <xdr:to>
      <xdr:col>16</xdr:col>
      <xdr:colOff>1348740</xdr:colOff>
      <xdr:row>24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65F92B-4D29-C17E-E084-9295692E7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28</xdr:row>
      <xdr:rowOff>171450</xdr:rowOff>
    </xdr:from>
    <xdr:to>
      <xdr:col>3</xdr:col>
      <xdr:colOff>670560</xdr:colOff>
      <xdr:row>39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2C5352-7595-A165-7D89-BE0758642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45720</xdr:colOff>
      <xdr:row>12</xdr:row>
      <xdr:rowOff>87630</xdr:rowOff>
    </xdr:from>
    <xdr:to>
      <xdr:col>5</xdr:col>
      <xdr:colOff>563880</xdr:colOff>
      <xdr:row>22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3FDEC3-775D-C826-E0F0-F93EA432A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579120</xdr:colOff>
      <xdr:row>28</xdr:row>
      <xdr:rowOff>137160</xdr:rowOff>
    </xdr:from>
    <xdr:to>
      <xdr:col>11</xdr:col>
      <xdr:colOff>236220</xdr:colOff>
      <xdr:row>41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5FF805-5014-6E2A-521C-6B61FCE3E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124240</xdr:colOff>
      <xdr:row>16</xdr:row>
      <xdr:rowOff>3313</xdr:rowOff>
    </xdr:from>
    <xdr:to>
      <xdr:col>35</xdr:col>
      <xdr:colOff>1143000</xdr:colOff>
      <xdr:row>31</xdr:row>
      <xdr:rowOff>8283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D97992-3A82-BBEF-E383-04906D520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na nadimindla" refreshedDate="46293.655980902775" createdVersion="8" refreshedVersion="8" minRefreshableVersion="3" recordCount="150" xr:uid="{D89324E3-8A31-4BC7-B038-1616BF1048AB}">
  <cacheSource type="worksheet">
    <worksheetSource name="Table1"/>
  </cacheSource>
  <cacheFields count="17">
    <cacheField name="ticket_id" numFmtId="0">
      <sharedItems count="150">
        <s v="TICKET-1000"/>
        <s v="TICKET-1001"/>
        <s v="TICKET-1002"/>
        <s v="TICKET-1003"/>
        <s v="TICKET-1004"/>
        <s v="TICKET-1005"/>
        <s v="TICKET-1006"/>
        <s v="TICKET-1007"/>
        <s v="TICKET-1008"/>
        <s v="TICKET-1009"/>
        <s v="TICKET-1010"/>
        <s v="TICKET-1011"/>
        <s v="TICKET-1012"/>
        <s v="TICKET-1013"/>
        <s v="TICKET-1014"/>
        <s v="TICKET-1015"/>
        <s v="TICKET-1016"/>
        <s v="TICKET-1017"/>
        <s v="TICKET-1018"/>
        <s v="TICKET-1019"/>
        <s v="TICKET-1020"/>
        <s v="TICKET-1021"/>
        <s v="TICKET-1022"/>
        <s v="TICKET-1023"/>
        <s v="TICKET-1024"/>
        <s v="TICKET-1025"/>
        <s v="TICKET-1026"/>
        <s v="TICKET-1027"/>
        <s v="TICKET-1028"/>
        <s v="TICKET-1029"/>
        <s v="TICKET-1030"/>
        <s v="TICKET-1031"/>
        <s v="TICKET-1032"/>
        <s v="TICKET-1033"/>
        <s v="TICKET-1034"/>
        <s v="TICKET-1035"/>
        <s v="TICKET-1036"/>
        <s v="TICKET-1037"/>
        <s v="TICKET-1038"/>
        <s v="TICKET-1039"/>
        <s v="TICKET-1040"/>
        <s v="TICKET-1041"/>
        <s v="TICKET-1042"/>
        <s v="TICKET-1043"/>
        <s v="TICKET-1044"/>
        <s v="TICKET-1045"/>
        <s v="TICKET-1046"/>
        <s v="TICKET-1047"/>
        <s v="TICKET-1048"/>
        <s v="TICKET-1049"/>
        <s v="TICKET-1050"/>
        <s v="TICKET-1051"/>
        <s v="TICKET-1052"/>
        <s v="TICKET-1053"/>
        <s v="TICKET-1054"/>
        <s v="TICKET-1055"/>
        <s v="TICKET-1056"/>
        <s v="TICKET-1057"/>
        <s v="TICKET-1058"/>
        <s v="TICKET-1059"/>
        <s v="TICKET-1060"/>
        <s v="TICKET-1061"/>
        <s v="TICKET-1062"/>
        <s v="TICKET-1063"/>
        <s v="TICKET-1064"/>
        <s v="TICKET-1065"/>
        <s v="TICKET-1066"/>
        <s v="TICKET-1067"/>
        <s v="TICKET-1068"/>
        <s v="TICKET-1069"/>
        <s v="TICKET-1070"/>
        <s v="TICKET-1071"/>
        <s v="TICKET-1072"/>
        <s v="TICKET-1073"/>
        <s v="TICKET-1074"/>
        <s v="TICKET-1075"/>
        <s v="TICKET-1076"/>
        <s v="TICKET-1077"/>
        <s v="TICKET-1078"/>
        <s v="TICKET-1079"/>
        <s v="TICKET-1080"/>
        <s v="TICKET-1081"/>
        <s v="TICKET-1082"/>
        <s v="TICKET-1083"/>
        <s v="TICKET-1084"/>
        <s v="TICKET-1085"/>
        <s v="TICKET-1086"/>
        <s v="TICKET-1087"/>
        <s v="TICKET-1088"/>
        <s v="TICKET-1089"/>
        <s v="TICKET-1090"/>
        <s v="TICKET-1091"/>
        <s v="TICKET-1092"/>
        <s v="TICKET-1093"/>
        <s v="TICKET-1094"/>
        <s v="TICKET-1095"/>
        <s v="TICKET-1096"/>
        <s v="TICKET-1097"/>
        <s v="TICKET-1098"/>
        <s v="TICKET-1099"/>
        <s v="TICKET-1100"/>
        <s v="TICKET-1101"/>
        <s v="TICKET-1102"/>
        <s v="TICKET-1103"/>
        <s v="TICKET-1104"/>
        <s v="TICKET-1105"/>
        <s v="TICKET-1106"/>
        <s v="TICKET-1107"/>
        <s v="TICKET-1108"/>
        <s v="TICKET-1109"/>
        <s v="TICKET-1110"/>
        <s v="TICKET-1111"/>
        <s v="TICKET-1112"/>
        <s v="TICKET-1113"/>
        <s v="TICKET-1114"/>
        <s v="TICKET-1115"/>
        <s v="TICKET-1116"/>
        <s v="TICKET-1117"/>
        <s v="TICKET-1118"/>
        <s v="TICKET-1119"/>
        <s v="TICKET-1120"/>
        <s v="TICKET-1121"/>
        <s v="TICKET-1122"/>
        <s v="TICKET-1123"/>
        <s v="TICKET-1124"/>
        <s v="TICKET-1125"/>
        <s v="TICKET-1126"/>
        <s v="TICKET-1127"/>
        <s v="TICKET-1128"/>
        <s v="TICKET-1129"/>
        <s v="TICKET-1130"/>
        <s v="TICKET-1131"/>
        <s v="TICKET-1132"/>
        <s v="TICKET-1133"/>
        <s v="TICKET-1134"/>
        <s v="TICKET-1135"/>
        <s v="TICKET-1136"/>
        <s v="TICKET-1137"/>
        <s v="TICKET-1138"/>
        <s v="TICKET-1139"/>
        <s v="TICKET-1140"/>
        <s v="TICKET-1141"/>
        <s v="TICKET-1142"/>
        <s v="TICKET-1143"/>
        <s v="TICKET-1144"/>
        <s v="TICKET-1145"/>
        <s v="TICKET-1146"/>
        <s v="TICKET-1147"/>
        <s v="TICKET-1148"/>
        <s v="TICKET-1149"/>
      </sharedItems>
    </cacheField>
    <cacheField name="submission_date" numFmtId="0">
      <sharedItems/>
    </cacheField>
    <cacheField name="resolution_date" numFmtId="0">
      <sharedItems count="150">
        <s v="2025-06-28 03:46:40.643597"/>
        <s v="2025-09-03 07:18:05.731716"/>
        <s v="2025-09-05 23:50:36.514904"/>
        <s v="2025-07-29 01:38:19.258840"/>
        <s v="2025-09-04 06:53:07.154457"/>
        <s v="2025-08-10 09:52:41.581470"/>
        <s v="2025-08-23 14:11:49.477646"/>
        <s v="2025-07-09 20:26:19.498056"/>
        <s v="2025-07-08 10:04:28.061319"/>
        <s v="2025-09-11 19:58:37.053319"/>
        <s v="2025-09-02 16:28:31.353328"/>
        <s v="2025-06-24 05:46:32.731443"/>
        <s v="2025-06-29 02:58:41.188060"/>
        <s v="2025-07-26 15:54:43.831940"/>
        <s v="2025-07-10 01:11:31.801503"/>
        <s v="2025-07-24 01:20:01.498702"/>
        <s v="2025-08-11 08:18:52.857508"/>
        <s v="2025-07-02 20:37:18.514894"/>
        <s v="2025-07-04 11:48:25.095189"/>
        <s v="2025-07-04 23:58:38.615326"/>
        <s v="2025-06-25 11:06:40.203209"/>
        <s v="2025-07-10 09:25:12.405241"/>
        <s v="2025-06-23 16:34:14.252886"/>
        <s v="2025-08-31 04:23:44.735158"/>
        <s v="2025-07-16 09:42:35.062502"/>
        <s v="2025-07-14 19:35:58.919440"/>
        <s v="2025-06-24 12:14:51.991110"/>
        <s v="2025-07-05 17:15:13.943082"/>
        <s v="2025-09-17 07:57:17.751897"/>
        <s v="2025-08-29 06:38:56.902987"/>
        <s v="2025-09-06 02:38:11.094292"/>
        <s v="2025-08-25 07:35:19.068247"/>
        <s v="2025-07-17 06:40:37.799525"/>
        <s v="2025-09-10 05:28:47.140040"/>
        <s v="2025-08-30 19:43:20.862349"/>
        <s v="2025-07-01 19:36:47.008690"/>
        <s v="2025-09-13 06:18:49.189686"/>
        <s v="2025-08-17 16:07:19.112891"/>
        <s v="2025-09-02 02:43:04.184300"/>
        <s v="2025-08-15 08:44:18.503494"/>
        <s v="2025-09-06 22:59:27.198268"/>
        <s v="2025-09-14 19:22:38.971560"/>
        <s v="2025-08-03 11:00:26.756030"/>
        <s v="2025-07-30 23:09:44.300560"/>
        <s v="2025-08-03 07:10:24.158224"/>
        <s v="2025-07-05 21:04:57.027735"/>
        <s v="2025-09-01 11:41:58.802726"/>
        <s v="2025-06-27 12:57:19.370578"/>
        <s v="2025-07-03 15:39:54.450866"/>
        <s v="2025-08-10 20:32:45.798059"/>
        <s v="2025-07-27 23:09:53.998222"/>
        <s v="2025-08-07 01:25:05.826194"/>
        <s v="2025-06-29 17:27:45.863439"/>
        <s v="2025-08-16 09:53:38.850148"/>
        <s v="2025-07-15 19:03:09.634822"/>
        <s v="2025-06-22 17:47:48.208097"/>
        <s v="2025-08-03 14:28:33.533957"/>
        <s v="2025-07-29 06:48:57.578293"/>
        <s v="2025-08-08 07:16:37.024354"/>
        <s v="2025-06-20 14:17:58.969089"/>
        <s v="2025-08-28 11:49:50.220064"/>
        <s v="2025-09-12 10:03:29.189035"/>
        <s v="2025-07-02 16:21:42.582830"/>
        <s v="2025-08-02 15:55:36.593196"/>
        <s v="2025-09-10 14:01:55.454967"/>
        <s v="2025-08-18 09:55:36.160715"/>
        <s v="2025-07-23 20:05:28.330340"/>
        <s v="2025-07-07 13:03:00.344742"/>
        <s v="2025-08-29 05:16:59.387024"/>
        <s v="2025-09-08 00:37:01.254910"/>
        <s v="2025-07-22 01:11:23.639322"/>
        <s v="2025-07-25 08:58:25.688989"/>
        <s v="2025-06-19 21:32:31.276443"/>
        <s v="2025-09-03 10:40:48.679412"/>
        <s v="2025-08-14 23:19:46.313107"/>
        <s v="2025-08-28 09:40:57.970769"/>
        <s v="2025-07-20 14:11:12.347592"/>
        <s v="2025-07-17 22:40:18.028378"/>
        <s v="2025-07-26 11:29:42.635566"/>
        <s v="2025-07-01 20:08:24.689951"/>
        <s v="2025-06-25 22:32:38.298600"/>
        <s v="2025-07-01 10:00:37.596729"/>
        <s v="2025-08-12 08:21:17.731647"/>
        <s v="2025-07-31 13:26:15.396546"/>
        <s v="2025-07-11 00:20:43.195927"/>
        <s v="2025-07-30 13:08:10.256595"/>
        <s v="2025-08-24 16:37:10.838012"/>
        <s v="2025-07-10 23:12:02.004884"/>
        <s v="2025-09-14 02:31:58.850525"/>
        <s v="2025-09-08 16:21:32.326263"/>
        <s v="2025-07-13 06:22:20.069065"/>
        <s v="2025-08-12 11:09:00.650030"/>
        <s v="2025-06-26 10:49:37.253224"/>
        <s v="2025-06-29 07:08:51.706277"/>
        <s v="2025-07-30 00:43:14.480677"/>
        <s v="2025-07-26 21:49:20.177583"/>
        <s v="2025-08-14 13:34:19.585641"/>
        <s v="2025-08-01 13:28:58.588709"/>
        <s v="2025-09-14 22:26:30.195060"/>
        <s v="2025-07-31 09:04:04.175211"/>
        <s v="2025-08-17 15:17:50.323371"/>
        <s v="2025-09-13 06:31:29.817598"/>
        <s v="2025-07-02 11:20:43.188508"/>
        <s v="2025-06-26 09:59:44.950900"/>
        <s v="2025-09-06 10:36:27.283872"/>
        <s v="2025-08-05 16:41:23.599696"/>
        <s v="2025-08-18 18:29:37.469504"/>
        <s v="2025-07-31 08:11:11.350919"/>
        <s v="2025-07-12 11:56:19.171293"/>
        <s v="2025-07-19 22:24:35.161072"/>
        <s v="2025-07-14 12:35:51.330593"/>
        <s v="2025-09-04 10:40:12.082644"/>
        <s v="2025-09-02 04:40:55.640314"/>
        <s v="2025-08-20 13:31:35.081246"/>
        <s v="2025-06-26 21:07:28.078565"/>
        <s v="2025-09-08 17:50:47.990773"/>
        <s v="2025-07-15 11:50:20.373174"/>
        <s v="2025-07-26 02:18:46.150403"/>
        <s v="2025-08-10 12:59:56.948767"/>
        <s v="2025-07-12 19:05:16.782096"/>
        <s v="2025-07-20 07:25:23.414745"/>
        <s v="2025-06-30 10:31:43.181731"/>
        <s v="2025-07-30 09:24:47.501377"/>
        <s v="2025-08-20 19:06:32.675101"/>
        <s v="2025-06-25 18:46:32.716143"/>
        <s v="2025-08-03 12:11:22.234008"/>
        <s v="2025-08-29 23:04:42.240506"/>
        <s v="2025-07-22 01:23:31.646257"/>
        <s v="2025-09-10 01:18:36.603166"/>
        <s v="2025-09-08 16:09:04.776176"/>
        <s v="2025-09-12 16:37:09.957473"/>
        <s v="2025-08-14 09:20:29.524043"/>
        <s v="2025-09-10 14:05:48.941275"/>
        <s v="2025-07-21 17:05:13.281284"/>
        <s v="2025-08-22 00:38:37.802880"/>
        <s v="2025-06-29 00:46:12.292232"/>
        <s v="2025-09-17 23:47:18.705911"/>
        <s v="2025-06-30 23:16:50.852894"/>
        <s v="2025-08-20 12:41:10.440985"/>
        <s v="2025-08-27 10:24:42.699707"/>
        <s v="2025-08-06 01:50:40.805588"/>
        <s v="2025-08-18 23:14:09.684128"/>
        <s v="2025-09-14 21:34:39.418406"/>
        <s v="2025-08-06 22:49:37.159360"/>
        <s v="2025-06-27 15:18:05.829664"/>
        <s v="2025-08-31 17:50:13.508223"/>
        <s v="2025-06-24 18:54:19.222033"/>
        <s v="2025-09-06 05:01:09.248748"/>
        <s v="2025-07-17 16:50:11.878671"/>
        <s v="2025-08-01 04:13:25.379880"/>
      </sharedItems>
    </cacheField>
    <cacheField name="category" numFmtId="0">
      <sharedItems count="7">
        <s v="Other"/>
        <s v="Software"/>
        <s v="Hardware"/>
        <s v="Access"/>
        <s v="Network"/>
        <s v="Security"/>
        <s v="Billing"/>
      </sharedItems>
    </cacheField>
    <cacheField name="assigned_analyst" numFmtId="0">
      <sharedItems count="10">
        <s v="Toni Wiley"/>
        <s v="Tanya Jones"/>
        <s v="Sheila Ball"/>
        <s v="Cynthia Rich"/>
        <s v="Janice Burns"/>
        <s v="Autumn Ryan"/>
        <s v="Amanda White"/>
        <s v="Adam Stone"/>
        <s v="Natasha Harris"/>
        <s v="Marvin West"/>
      </sharedItems>
    </cacheField>
    <cacheField name="description" numFmtId="0">
      <sharedItems/>
    </cacheField>
    <cacheField name="priority" numFmtId="0">
      <sharedItems count="4">
        <s v="High"/>
        <s v="Medium"/>
        <s v="Low"/>
        <s v="Critical"/>
      </sharedItems>
    </cacheField>
    <cacheField name="Resolution time" numFmtId="0">
      <sharedItems containsSemiMixedTypes="0" containsString="0" containsNumber="1" minValue="1.536666667" maxValue="167.59666669999999"/>
    </cacheField>
    <cacheField name="Submission_date_short" numFmtId="22">
      <sharedItems containsSemiMixedTypes="0" containsNonDate="0" containsDate="1" containsString="0" minDate="2025-06-18T07:42:00" maxDate="2025-09-15T13:02:00"/>
    </cacheField>
    <cacheField name="Resolution_date_short" numFmtId="22">
      <sharedItems containsSemiMixedTypes="0" containsNonDate="0" containsDate="1" containsString="0" minDate="2025-06-19T21:32:00" maxDate="2025-09-17T23:47:00" count="150">
        <d v="2025-06-28T03:46:00"/>
        <d v="2025-09-03T07:18:00"/>
        <d v="2025-09-05T23:50:00"/>
        <d v="2025-07-29T01:38:00"/>
        <d v="2025-09-04T06:53:00"/>
        <d v="2025-08-10T09:52:00"/>
        <d v="2025-08-23T14:11:00"/>
        <d v="2025-07-09T20:26:00"/>
        <d v="2025-07-08T10:04:00"/>
        <d v="2025-09-11T19:58:00"/>
        <d v="2025-09-02T16:28:00"/>
        <d v="2025-06-24T05:46:00"/>
        <d v="2025-06-29T02:58:00"/>
        <d v="2025-07-26T15:54:00"/>
        <d v="2025-07-10T01:11:00"/>
        <d v="2025-07-24T01:20:00"/>
        <d v="2025-08-11T08:18:00"/>
        <d v="2025-07-02T20:37:00"/>
        <d v="2025-07-04T11:48:00"/>
        <d v="2025-07-04T23:58:00"/>
        <d v="2025-06-25T11:06:00"/>
        <d v="2025-07-10T09:25:00"/>
        <d v="2025-06-23T16:34:00"/>
        <d v="2025-08-31T04:23:00"/>
        <d v="2025-07-16T09:42:00"/>
        <d v="2025-07-14T19:35:00"/>
        <d v="2025-06-24T12:14:00"/>
        <d v="2025-07-05T17:15:00"/>
        <d v="2025-09-17T07:57:00"/>
        <d v="2025-08-29T06:38:00"/>
        <d v="2025-09-06T02:38:00"/>
        <d v="2025-08-25T07:35:00"/>
        <d v="2025-07-17T06:40:00"/>
        <d v="2025-09-10T05:28:00"/>
        <d v="2025-08-30T19:43:00"/>
        <d v="2025-07-01T19:36:00"/>
        <d v="2025-09-13T06:18:00"/>
        <d v="2025-08-17T16:07:00"/>
        <d v="2025-09-02T02:43:00"/>
        <d v="2025-08-15T08:44:00"/>
        <d v="2025-09-06T22:59:00"/>
        <d v="2025-09-14T19:22:00"/>
        <d v="2025-08-03T11:00:00"/>
        <d v="2025-07-30T23:09:00"/>
        <d v="2025-08-03T07:10:00"/>
        <d v="2025-07-05T21:04:00"/>
        <d v="2025-09-01T11:41:00"/>
        <d v="2025-06-27T12:57:00"/>
        <d v="2025-07-03T15:39:00"/>
        <d v="2025-08-10T20:32:00"/>
        <d v="2025-07-27T23:09:00"/>
        <d v="2025-08-07T01:25:00"/>
        <d v="2025-06-29T17:27:00"/>
        <d v="2025-08-16T09:53:00"/>
        <d v="2025-07-15T19:03:00"/>
        <d v="2025-06-22T17:47:00"/>
        <d v="2025-08-03T14:28:00"/>
        <d v="2025-07-29T06:48:00"/>
        <d v="2025-08-08T07:16:00"/>
        <d v="2025-06-20T14:17:00"/>
        <d v="2025-08-28T11:49:00"/>
        <d v="2025-09-12T10:03:00"/>
        <d v="2025-07-02T16:21:00"/>
        <d v="2025-08-02T15:55:00"/>
        <d v="2025-09-10T14:01:00"/>
        <d v="2025-08-18T09:55:00"/>
        <d v="2025-07-23T20:05:00"/>
        <d v="2025-07-07T13:03:00"/>
        <d v="2025-08-29T05:16:00"/>
        <d v="2025-09-08T00:37:00"/>
        <d v="2025-07-22T01:11:00"/>
        <d v="2025-07-25T08:58:00"/>
        <d v="2025-06-19T21:32:00"/>
        <d v="2025-09-03T10:40:00"/>
        <d v="2025-08-14T23:19:00"/>
        <d v="2025-08-28T09:40:00"/>
        <d v="2025-07-20T14:11:00"/>
        <d v="2025-07-17T22:40:00"/>
        <d v="2025-07-26T11:29:00"/>
        <d v="2025-07-01T20:08:00"/>
        <d v="2025-06-25T22:32:00"/>
        <d v="2025-07-01T10:00:00"/>
        <d v="2025-08-12T08:21:00"/>
        <d v="2025-07-31T13:26:00"/>
        <d v="2025-07-11T00:20:00"/>
        <d v="2025-07-30T13:08:00"/>
        <d v="2025-08-24T16:37:00"/>
        <d v="2025-07-10T23:12:00"/>
        <d v="2025-09-14T02:31:00"/>
        <d v="2025-09-08T16:21:00"/>
        <d v="2025-07-13T06:22:00"/>
        <d v="2025-08-12T11:09:00"/>
        <d v="2025-06-26T10:49:00"/>
        <d v="2025-06-29T07:08:00"/>
        <d v="2025-07-30T00:43:00"/>
        <d v="2025-07-26T21:49:00"/>
        <d v="2025-08-14T13:34:00"/>
        <d v="2025-08-01T13:28:00"/>
        <d v="2025-09-14T22:26:00"/>
        <d v="2025-07-31T09:04:00"/>
        <d v="2025-08-17T15:17:00"/>
        <d v="2025-09-13T06:31:00"/>
        <d v="2025-07-02T11:20:00"/>
        <d v="2025-06-26T09:59:00"/>
        <d v="2025-09-06T10:36:00"/>
        <d v="2025-08-05T16:41:00"/>
        <d v="2025-08-18T18:29:00"/>
        <d v="2025-07-31T08:11:00"/>
        <d v="2025-07-12T11:56:00"/>
        <d v="2025-07-19T22:24:00"/>
        <d v="2025-07-14T12:35:00"/>
        <d v="2025-09-04T10:40:00"/>
        <d v="2025-09-02T04:40:00"/>
        <d v="2025-08-20T13:31:00"/>
        <d v="2025-06-26T21:07:00"/>
        <d v="2025-09-08T17:50:00"/>
        <d v="2025-07-15T11:50:00"/>
        <d v="2025-07-26T02:18:00"/>
        <d v="2025-08-10T12:59:00"/>
        <d v="2025-07-12T19:05:00"/>
        <d v="2025-07-20T07:25:00"/>
        <d v="2025-06-30T10:31:00"/>
        <d v="2025-07-30T09:24:00"/>
        <d v="2025-08-20T19:06:00"/>
        <d v="2025-06-25T18:46:00"/>
        <d v="2025-08-03T12:11:00"/>
        <d v="2025-08-29T23:04:00"/>
        <d v="2025-07-22T01:23:00"/>
        <d v="2025-09-10T01:18:00"/>
        <d v="2025-09-08T16:09:00"/>
        <d v="2025-09-12T16:37:00"/>
        <d v="2025-08-14T09:20:00"/>
        <d v="2025-09-10T14:05:00"/>
        <d v="2025-07-21T17:05:00"/>
        <d v="2025-08-22T00:38:00"/>
        <d v="2025-06-29T00:46:00"/>
        <d v="2025-09-17T23:47:00"/>
        <d v="2025-06-30T23:16:00"/>
        <d v="2025-08-20T12:41:00"/>
        <d v="2025-08-27T10:24:00"/>
        <d v="2025-08-06T01:50:00"/>
        <d v="2025-08-18T23:14:00"/>
        <d v="2025-09-14T21:34:00"/>
        <d v="2025-08-06T22:49:00"/>
        <d v="2025-06-27T15:18:00"/>
        <d v="2025-08-31T17:50:00"/>
        <d v="2025-06-24T18:54:00"/>
        <d v="2025-09-06T05:01:00"/>
        <d v="2025-07-17T16:50:00"/>
        <d v="2025-08-01T04:13:00"/>
      </sharedItems>
      <fieldGroup par="16"/>
    </cacheField>
    <cacheField name="Day _week" numFmtId="0">
      <sharedItems count="7">
        <s v="Friday"/>
        <s v="Monday"/>
        <s v="Thursday"/>
        <s v="Wednesday"/>
        <s v="Saturday"/>
        <s v="Tuesday"/>
        <s v="Sunday"/>
      </sharedItems>
    </cacheField>
    <cacheField name="Month" numFmtId="0">
      <sharedItems count="4">
        <s v="2025-06"/>
        <s v="2025-09"/>
        <s v="2025-07"/>
        <s v="2025-08"/>
      </sharedItems>
    </cacheField>
    <cacheField name="Hour" numFmtId="0">
      <sharedItems containsSemiMixedTypes="0" containsString="0" containsNumber="1" containsInteger="1" minValue="0" maxValue="23" count="24">
        <n v="22"/>
        <n v="19"/>
        <n v="9"/>
        <n v="17"/>
        <n v="21"/>
        <n v="20"/>
        <n v="10"/>
        <n v="7"/>
        <n v="16"/>
        <n v="14"/>
        <n v="13"/>
        <n v="1"/>
        <n v="11"/>
        <n v="23"/>
        <n v="12"/>
        <n v="3"/>
        <n v="5"/>
        <n v="0"/>
        <n v="18"/>
        <n v="8"/>
        <n v="15"/>
        <n v="2"/>
        <n v="6"/>
        <n v="4"/>
      </sharedItems>
    </cacheField>
    <cacheField name="ticket_volume" numFmtId="0">
      <sharedItems containsSemiMixedTypes="0" containsString="0" containsNumber="1" containsInteger="1" minValue="1" maxValue="150"/>
    </cacheField>
    <cacheField name="Average_resolution" numFmtId="0">
      <sharedItems containsSemiMixedTypes="0" containsString="0" containsNumber="1" minValue="24.013055560000002" maxValue="56.559591050000002"/>
    </cacheField>
    <cacheField name="Days (Resolution_date_short)" numFmtId="0" databaseField="0">
      <fieldGroup base="9">
        <rangePr groupBy="days" startDate="2025-06-19T21:32:00" endDate="2025-09-17T23:47:00"/>
        <groupItems count="368">
          <s v="&lt;19-06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7-09-2025"/>
        </groupItems>
      </fieldGroup>
    </cacheField>
    <cacheField name="Months (Resolution_date_short)" numFmtId="0" databaseField="0">
      <fieldGroup base="9">
        <rangePr groupBy="months" startDate="2025-06-19T21:32:00" endDate="2025-09-17T23:47:00"/>
        <groupItems count="14">
          <s v="&lt;19-06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2025-06-27 22:36:15.973930"/>
    <x v="0"/>
    <x v="0"/>
    <x v="0"/>
    <s v="Dream part subject until full. Brother century suddenly above. Six eight benefit animal move best."/>
    <x v="0"/>
    <n v="5.1736111109999996"/>
    <d v="2025-06-27T22:36:00"/>
    <x v="0"/>
    <x v="0"/>
    <x v="0"/>
    <x v="0"/>
    <n v="150"/>
    <n v="53.296622220000003"/>
  </r>
  <r>
    <x v="1"/>
    <s v="2025-09-01 19:27:59.002736"/>
    <x v="1"/>
    <x v="1"/>
    <x v="1"/>
    <s v="Application X is crashing every time I open it. Lead how phone also score player later blue."/>
    <x v="1"/>
    <n v="35.835000000000001"/>
    <d v="2025-09-01T19:27:00"/>
    <x v="1"/>
    <x v="1"/>
    <x v="1"/>
    <x v="1"/>
    <n v="149"/>
    <n v="53.619595449999998"/>
  </r>
  <r>
    <x v="2"/>
    <s v="2025-09-04 09:32:02.540499"/>
    <x v="2"/>
    <x v="0"/>
    <x v="2"/>
    <s v="Black attack cold would page. Reality she war a chance. Physical hour Mr item red agreement for."/>
    <x v="1"/>
    <n v="38.30944444"/>
    <d v="2025-09-04T09:32:00"/>
    <x v="2"/>
    <x v="2"/>
    <x v="1"/>
    <x v="2"/>
    <n v="148"/>
    <n v="53.739761639999998"/>
  </r>
  <r>
    <x v="3"/>
    <s v="2025-07-28 17:47:33.955168"/>
    <x v="3"/>
    <x v="2"/>
    <x v="3"/>
    <s v="My laptop's keyboard isn't working properly, some keys are stuck. Tree culture above effort more national whether."/>
    <x v="0"/>
    <n v="7.8461111109999999"/>
    <d v="2025-07-28T17:47:00"/>
    <x v="3"/>
    <x v="1"/>
    <x v="2"/>
    <x v="3"/>
    <n v="147"/>
    <n v="53.844729780000002"/>
  </r>
  <r>
    <x v="4"/>
    <s v="2025-09-03 21:46:08.623803"/>
    <x v="4"/>
    <x v="1"/>
    <x v="4"/>
    <s v="Application X is crashing every time I open it. Order wrong fight foreign bad house pick."/>
    <x v="0"/>
    <n v="9.1163888889999996"/>
    <d v="2025-09-03T21:46:00"/>
    <x v="4"/>
    <x v="3"/>
    <x v="1"/>
    <x v="4"/>
    <n v="146"/>
    <n v="54.159788810000002"/>
  </r>
  <r>
    <x v="5"/>
    <s v="2025-08-04 20:32:40.305658"/>
    <x v="5"/>
    <x v="1"/>
    <x v="2"/>
    <s v="Application X is crashing every time I open it. Sport should network realize relate very voice."/>
    <x v="2"/>
    <n v="133.33361110000001"/>
    <d v="2025-08-04T20:32:00"/>
    <x v="5"/>
    <x v="1"/>
    <x v="3"/>
    <x v="5"/>
    <n v="145"/>
    <n v="54.470432950000003"/>
  </r>
  <r>
    <x v="6"/>
    <s v="2025-08-22 10:38:15.678132"/>
    <x v="6"/>
    <x v="3"/>
    <x v="5"/>
    <s v="I'm locked out of my account and can't reset my password. If rather year suffer wrong."/>
    <x v="2"/>
    <n v="27.55944444"/>
    <d v="2025-08-22T10:38:00"/>
    <x v="6"/>
    <x v="0"/>
    <x v="3"/>
    <x v="6"/>
    <n v="144"/>
    <n v="53.922771990000001"/>
  </r>
  <r>
    <x v="7"/>
    <s v="2025-07-05 07:43:27.971030"/>
    <x v="7"/>
    <x v="1"/>
    <x v="6"/>
    <s v="Application X is crashing every time I open it. Here bill leg region training. Grow new may."/>
    <x v="2"/>
    <n v="108.7144444"/>
    <d v="2025-07-05T07:43:00"/>
    <x v="7"/>
    <x v="4"/>
    <x v="2"/>
    <x v="7"/>
    <n v="143"/>
    <n v="54.107130920000003"/>
  </r>
  <r>
    <x v="8"/>
    <s v="2025-07-07 16:41:13.572214"/>
    <x v="8"/>
    <x v="2"/>
    <x v="6"/>
    <s v="My laptop's keyboard isn't working properly, some keys are stuck. Common maintain theory involve ok detail."/>
    <x v="1"/>
    <n v="17.387499999999999"/>
    <d v="2025-07-07T16:41:00"/>
    <x v="8"/>
    <x v="1"/>
    <x v="2"/>
    <x v="8"/>
    <n v="142"/>
    <n v="53.722572380000003"/>
  </r>
  <r>
    <x v="9"/>
    <s v="2025-09-10 14:49:32.772986"/>
    <x v="9"/>
    <x v="1"/>
    <x v="2"/>
    <s v="Application X is crashing every time I open it. Responsibility again recently traditional word."/>
    <x v="1"/>
    <n v="29.15138889"/>
    <d v="2025-09-10T14:49:00"/>
    <x v="9"/>
    <x v="3"/>
    <x v="1"/>
    <x v="9"/>
    <n v="141"/>
    <n v="53.980267929999997"/>
  </r>
  <r>
    <x v="10"/>
    <s v="2025-08-27 13:20:01.825947"/>
    <x v="10"/>
    <x v="1"/>
    <x v="7"/>
    <s v="Application X is crashing every time I open it. Structure this woman born."/>
    <x v="2"/>
    <n v="147.1416667"/>
    <d v="2025-08-27T13:20:00"/>
    <x v="10"/>
    <x v="3"/>
    <x v="3"/>
    <x v="10"/>
    <n v="140"/>
    <n v="54.15761706"/>
  </r>
  <r>
    <x v="11"/>
    <s v="2025-06-24 01:56:18.720420"/>
    <x v="11"/>
    <x v="4"/>
    <x v="8"/>
    <s v="Can't connect to the Wi-Fi. It's showing 'No internet access'. Maintain without college strong few not week."/>
    <x v="0"/>
    <n v="3.8372222219999998"/>
    <d v="2025-06-24T01:56:00"/>
    <x v="11"/>
    <x v="5"/>
    <x v="0"/>
    <x v="11"/>
    <n v="139"/>
    <n v="53.488667069999998"/>
  </r>
  <r>
    <x v="12"/>
    <s v="2025-06-28 09:51:47.052154"/>
    <x v="12"/>
    <x v="4"/>
    <x v="0"/>
    <s v="Can't connect to the Wi-Fi. It's showing 'No internet access'. Official human task door century energy Mr."/>
    <x v="1"/>
    <n v="17.114999999999998"/>
    <d v="2025-06-28T09:51:00"/>
    <x v="12"/>
    <x v="4"/>
    <x v="0"/>
    <x v="2"/>
    <n v="138"/>
    <n v="53.84846014"/>
  </r>
  <r>
    <x v="13"/>
    <s v="2025-07-22 09:08:53.603308"/>
    <x v="13"/>
    <x v="1"/>
    <x v="6"/>
    <s v="Application X is crashing every time I open it. Spring operation performance glass choice kind."/>
    <x v="2"/>
    <n v="102.7638889"/>
    <d v="2025-07-22T09:08:00"/>
    <x v="13"/>
    <x v="5"/>
    <x v="2"/>
    <x v="2"/>
    <n v="137"/>
    <n v="54.116587590000002"/>
  </r>
  <r>
    <x v="14"/>
    <s v="2025-07-09 22:32:58.087652"/>
    <x v="14"/>
    <x v="1"/>
    <x v="1"/>
    <s v="Application X is crashing every time I open it. Summer yard maintain fire ask eight."/>
    <x v="0"/>
    <n v="2.6425000000000001"/>
    <d v="2025-07-09T22:32:00"/>
    <x v="14"/>
    <x v="3"/>
    <x v="2"/>
    <x v="0"/>
    <n v="136"/>
    <n v="53.758886850000003"/>
  </r>
  <r>
    <x v="15"/>
    <s v="2025-07-23 22:34:10.788008"/>
    <x v="15"/>
    <x v="1"/>
    <x v="9"/>
    <s v="Application X is crashing every time I open it. Least check between event. Can brother two form."/>
    <x v="0"/>
    <n v="2.764166667"/>
    <d v="2025-07-23T22:34:00"/>
    <x v="15"/>
    <x v="3"/>
    <x v="2"/>
    <x v="0"/>
    <n v="135"/>
    <n v="54.137526749999999"/>
  </r>
  <r>
    <x v="16"/>
    <s v="2025-08-06 11:52:05.195899"/>
    <x v="16"/>
    <x v="1"/>
    <x v="6"/>
    <s v="Application X is crashing every time I open it. Resource in affect charge customer accept dream."/>
    <x v="2"/>
    <n v="116.4463889"/>
    <d v="2025-08-06T11:52:00"/>
    <x v="16"/>
    <x v="3"/>
    <x v="3"/>
    <x v="12"/>
    <n v="134"/>
    <n v="54.520910030000003"/>
  </r>
  <r>
    <x v="17"/>
    <s v="2025-06-30 16:42:13.714736"/>
    <x v="17"/>
    <x v="5"/>
    <x v="0"/>
    <s v="Thought national word picture each deep."/>
    <x v="2"/>
    <n v="51.918055559999999"/>
    <d v="2025-06-30T16:42:00"/>
    <x v="17"/>
    <x v="1"/>
    <x v="0"/>
    <x v="8"/>
    <n v="133"/>
    <n v="54.055304929999998"/>
  </r>
  <r>
    <x v="18"/>
    <s v="2025-06-30 23:03:04.441404"/>
    <x v="18"/>
    <x v="4"/>
    <x v="3"/>
    <s v="Can't connect to the Wi-Fi. It's showing 'No internet access'. Card series research else cup though artist."/>
    <x v="2"/>
    <n v="84.755833330000002"/>
    <d v="2025-06-30T23:03:00"/>
    <x v="18"/>
    <x v="1"/>
    <x v="0"/>
    <x v="13"/>
    <n v="132"/>
    <n v="54.071496209999999"/>
  </r>
  <r>
    <x v="19"/>
    <s v="2025-07-03 07:27:15.088527"/>
    <x v="19"/>
    <x v="2"/>
    <x v="3"/>
    <s v="My laptop's keyboard isn't working properly, some keys are stuck. Young up grow after offer east region would."/>
    <x v="1"/>
    <n v="40.523055560000003"/>
    <d v="2025-07-03T07:27:00"/>
    <x v="19"/>
    <x v="2"/>
    <x v="2"/>
    <x v="7"/>
    <n v="131"/>
    <n v="53.83726463"/>
  </r>
  <r>
    <x v="20"/>
    <s v="2025-06-23 22:49:37.645901"/>
    <x v="20"/>
    <x v="1"/>
    <x v="1"/>
    <s v="Application X is crashing every time I open it. Nice then management."/>
    <x v="1"/>
    <n v="36.284166669999998"/>
    <d v="2025-06-23T22:49:00"/>
    <x v="20"/>
    <x v="1"/>
    <x v="0"/>
    <x v="0"/>
    <n v="130"/>
    <n v="53.939681620000002"/>
  </r>
  <r>
    <x v="21"/>
    <s v="2025-07-08 11:34:56.771616"/>
    <x v="21"/>
    <x v="1"/>
    <x v="0"/>
    <s v="Application X is crashing every time I open it. Water act involve follow hot."/>
    <x v="1"/>
    <n v="45.837777780000003"/>
    <d v="2025-07-08T11:34:00"/>
    <x v="21"/>
    <x v="5"/>
    <x v="2"/>
    <x v="12"/>
    <n v="129"/>
    <n v="54.07654608"/>
  </r>
  <r>
    <x v="22"/>
    <s v="2025-06-22 23:29:45.598373"/>
    <x v="22"/>
    <x v="1"/>
    <x v="7"/>
    <s v="Application X is crashing every time I open it. Another such apply table let."/>
    <x v="1"/>
    <n v="17.074722220000002"/>
    <d v="2025-06-22T23:29:00"/>
    <x v="22"/>
    <x v="6"/>
    <x v="0"/>
    <x v="13"/>
    <n v="128"/>
    <n v="54.140911459999998"/>
  </r>
  <r>
    <x v="23"/>
    <s v="2025-08-29 12:27:52.714228"/>
    <x v="23"/>
    <x v="1"/>
    <x v="4"/>
    <s v="Application X is crashing every time I open it. Senior per draw day mention sea quickly."/>
    <x v="1"/>
    <n v="39.931111110000003"/>
    <d v="2025-08-29T12:27:00"/>
    <x v="23"/>
    <x v="0"/>
    <x v="3"/>
    <x v="14"/>
    <n v="127"/>
    <n v="54.432771219999999"/>
  </r>
  <r>
    <x v="24"/>
    <s v="2025-07-12 03:37:37.169801"/>
    <x v="24"/>
    <x v="4"/>
    <x v="3"/>
    <s v="Can't connect to the Wi-Fi. It's showing 'No internet access'. Race Republican expect east might collection."/>
    <x v="2"/>
    <n v="102.0827778"/>
    <d v="2025-07-12T03:37:00"/>
    <x v="24"/>
    <x v="4"/>
    <x v="2"/>
    <x v="15"/>
    <n v="126"/>
    <n v="54.547863759999998"/>
  </r>
  <r>
    <x v="25"/>
    <s v="2025-07-13 05:42:49.821632"/>
    <x v="25"/>
    <x v="1"/>
    <x v="1"/>
    <s v="Application X is crashing every time I open it. Total maintain service writer."/>
    <x v="1"/>
    <n v="37.885833329999997"/>
    <d v="2025-07-13T05:42:00"/>
    <x v="25"/>
    <x v="6"/>
    <x v="2"/>
    <x v="16"/>
    <n v="125"/>
    <n v="54.167584439999999"/>
  </r>
  <r>
    <x v="26"/>
    <s v="2025-06-24 00:26:51.294033"/>
    <x v="26"/>
    <x v="4"/>
    <x v="4"/>
    <s v="Can't connect to the Wi-Fi. It's showing 'No internet access'. Individual herself decide generation."/>
    <x v="0"/>
    <n v="11.8"/>
    <d v="2025-06-24T00:26:00"/>
    <x v="26"/>
    <x v="5"/>
    <x v="0"/>
    <x v="17"/>
    <n v="124"/>
    <n v="54.298888890000001"/>
  </r>
  <r>
    <x v="27"/>
    <s v="2025-07-03 19:29:05.365425"/>
    <x v="27"/>
    <x v="6"/>
    <x v="1"/>
    <s v="Yourself floor foot character choose. Brother prepare but film key name."/>
    <x v="1"/>
    <n v="45.768888889999999"/>
    <d v="2025-07-03T19:29:00"/>
    <x v="27"/>
    <x v="2"/>
    <x v="2"/>
    <x v="1"/>
    <n v="123"/>
    <n v="54.644408310000003"/>
  </r>
  <r>
    <x v="28"/>
    <s v="2025-09-15 13:02:57.156414"/>
    <x v="28"/>
    <x v="0"/>
    <x v="0"/>
    <s v="Successful radio play network yet. Fill director direction ready white."/>
    <x v="2"/>
    <n v="42.905555560000003"/>
    <d v="2025-09-15T13:02:00"/>
    <x v="28"/>
    <x v="1"/>
    <x v="1"/>
    <x v="10"/>
    <n v="122"/>
    <n v="54.717158470000001"/>
  </r>
  <r>
    <x v="29"/>
    <s v="2025-08-27 21:57:13.064988"/>
    <x v="29"/>
    <x v="1"/>
    <x v="2"/>
    <s v="Application X is crashing every time I open it. Southern beat general first much hotel agency."/>
    <x v="1"/>
    <n v="32.695277779999998"/>
    <d v="2025-08-27T21:57:00"/>
    <x v="29"/>
    <x v="3"/>
    <x v="3"/>
    <x v="4"/>
    <n v="121"/>
    <n v="54.814775019999999"/>
  </r>
  <r>
    <x v="30"/>
    <s v="2025-08-30 20:17:04.470282"/>
    <x v="30"/>
    <x v="4"/>
    <x v="2"/>
    <s v="Can't connect to the Wi-Fi. It's showing 'No internet access'. Cup government by life reduce each customer."/>
    <x v="2"/>
    <n v="150.35194440000001"/>
    <d v="2025-08-30T20:17:00"/>
    <x v="30"/>
    <x v="4"/>
    <x v="3"/>
    <x v="5"/>
    <n v="120"/>
    <n v="54.999104170000003"/>
  </r>
  <r>
    <x v="31"/>
    <s v="2025-08-24 23:58:57.561955"/>
    <x v="31"/>
    <x v="1"/>
    <x v="1"/>
    <s v="Application X is crashing every time I open it. Market growth film."/>
    <x v="0"/>
    <n v="7.6061111109999997"/>
    <d v="2025-08-24T23:58:00"/>
    <x v="31"/>
    <x v="6"/>
    <x v="3"/>
    <x v="13"/>
    <n v="119"/>
    <n v="54.197819789999997"/>
  </r>
  <r>
    <x v="32"/>
    <s v="2025-07-11 18:10:38.706775"/>
    <x v="32"/>
    <x v="4"/>
    <x v="6"/>
    <s v="Can't connect to the Wi-Fi. It's showing 'No internet access'. Could north state feel others participant."/>
    <x v="2"/>
    <n v="132.49972220000001"/>
    <d v="2025-07-11T18:10:00"/>
    <x v="32"/>
    <x v="0"/>
    <x v="2"/>
    <x v="18"/>
    <n v="118"/>
    <n v="54.59266478"/>
  </r>
  <r>
    <x v="33"/>
    <s v="2025-09-04 19:33:02.601042"/>
    <x v="33"/>
    <x v="6"/>
    <x v="5"/>
    <s v="Follow chair add finally these plan staff. Across shoulder school free."/>
    <x v="2"/>
    <n v="129.9291667"/>
    <d v="2025-09-04T19:33:00"/>
    <x v="33"/>
    <x v="2"/>
    <x v="1"/>
    <x v="1"/>
    <n v="117"/>
    <n v="53.926792499999998"/>
  </r>
  <r>
    <x v="34"/>
    <s v="2025-08-24 17:06:08.325417"/>
    <x v="34"/>
    <x v="1"/>
    <x v="4"/>
    <s v="Application X is crashing every time I open it. Bag half join treat water by affect."/>
    <x v="2"/>
    <n v="146.62"/>
    <d v="2025-08-24T17:06:00"/>
    <x v="34"/>
    <x v="6"/>
    <x v="3"/>
    <x v="3"/>
    <n v="116"/>
    <n v="53.271599620000003"/>
  </r>
  <r>
    <x v="35"/>
    <s v="2025-06-30 17:48:02.817928"/>
    <x v="35"/>
    <x v="2"/>
    <x v="1"/>
    <s v="My laptop's keyboard isn't working properly, some keys are stuck. Science bad news pressure anything probably save."/>
    <x v="2"/>
    <n v="25.8125"/>
    <d v="2025-06-30T17:48:00"/>
    <x v="35"/>
    <x v="1"/>
    <x v="0"/>
    <x v="3"/>
    <n v="115"/>
    <n v="52.459874399999997"/>
  </r>
  <r>
    <x v="36"/>
    <s v="2025-09-09 08:46:25.998679"/>
    <x v="36"/>
    <x v="1"/>
    <x v="8"/>
    <s v="Application X is crashing every time I open it. Fund project find law identify close worker."/>
    <x v="2"/>
    <n v="93.54"/>
    <d v="2025-09-09T08:46:00"/>
    <x v="36"/>
    <x v="5"/>
    <x v="1"/>
    <x v="19"/>
    <n v="114"/>
    <n v="52.693623289999998"/>
  </r>
  <r>
    <x v="37"/>
    <s v="2025-08-11 10:56:35.910046"/>
    <x v="37"/>
    <x v="0"/>
    <x v="7"/>
    <s v="Rate play media air. Trade thank hundred choice reduce remember possible us."/>
    <x v="2"/>
    <n v="149.1788889"/>
    <d v="2025-08-11T10:56:00"/>
    <x v="37"/>
    <x v="1"/>
    <x v="3"/>
    <x v="6"/>
    <n v="113"/>
    <n v="52.332150929999997"/>
  </r>
  <r>
    <x v="38"/>
    <s v="2025-09-01 16:20:12.053384"/>
    <x v="38"/>
    <x v="1"/>
    <x v="5"/>
    <s v="Application X is crashing every time I open it. Effort avoid door shoulder cut."/>
    <x v="1"/>
    <n v="10.381111110000001"/>
    <d v="2025-09-01T16:20:00"/>
    <x v="38"/>
    <x v="1"/>
    <x v="1"/>
    <x v="8"/>
    <n v="112"/>
    <n v="51.467447919999998"/>
  </r>
  <r>
    <x v="39"/>
    <s v="2025-08-14 20:30:07.061476"/>
    <x v="39"/>
    <x v="3"/>
    <x v="6"/>
    <s v="I'm locked out of my account and can't reset my password. Point fine stop radio chair tree career scene."/>
    <x v="1"/>
    <n v="12.236388890000001"/>
    <d v="2025-08-14T20:30:00"/>
    <x v="39"/>
    <x v="2"/>
    <x v="3"/>
    <x v="5"/>
    <n v="111"/>
    <n v="51.837595100000001"/>
  </r>
  <r>
    <x v="40"/>
    <s v="2025-09-05 05:49:38.685883"/>
    <x v="40"/>
    <x v="4"/>
    <x v="0"/>
    <s v="Can't connect to the Wi-Fi. It's showing 'No internet access'. Simple practice operation move put."/>
    <x v="1"/>
    <n v="41.163611109999998"/>
    <d v="2025-09-05T05:49:00"/>
    <x v="40"/>
    <x v="0"/>
    <x v="1"/>
    <x v="16"/>
    <n v="110"/>
    <n v="52.197606059999998"/>
  </r>
  <r>
    <x v="41"/>
    <s v="2025-09-13 18:26:29.790353"/>
    <x v="41"/>
    <x v="2"/>
    <x v="1"/>
    <s v="My laptop's keyboard isn't working properly, some keys are stuck. Firm discuss audience say amount."/>
    <x v="2"/>
    <n v="24.935833330000001"/>
    <d v="2025-09-13T18:26:00"/>
    <x v="41"/>
    <x v="4"/>
    <x v="1"/>
    <x v="18"/>
    <n v="109"/>
    <n v="52.298835369999999"/>
  </r>
  <r>
    <x v="42"/>
    <s v="2025-07-28 00:42:23.918525"/>
    <x v="42"/>
    <x v="6"/>
    <x v="9"/>
    <s v="Physical business information._x000a_Activity else house another. Still protect admit answer."/>
    <x v="2"/>
    <n v="154.30083329999999"/>
    <d v="2025-07-28T00:42:00"/>
    <x v="42"/>
    <x v="1"/>
    <x v="2"/>
    <x v="17"/>
    <n v="108"/>
    <n v="52.552196500000001"/>
  </r>
  <r>
    <x v="43"/>
    <s v="2025-07-30 21:37:32.644939"/>
    <x v="43"/>
    <x v="1"/>
    <x v="6"/>
    <s v="Application X is crashing every time I open it. Anything despite not."/>
    <x v="3"/>
    <n v="1.536666667"/>
    <d v="2025-07-30T21:37:00"/>
    <x v="43"/>
    <x v="3"/>
    <x v="2"/>
    <x v="4"/>
    <n v="107"/>
    <n v="51.601274660000001"/>
  </r>
  <r>
    <x v="44"/>
    <s v="2025-08-03 03:02:32.964009"/>
    <x v="44"/>
    <x v="2"/>
    <x v="5"/>
    <s v="My laptop's keyboard isn't working properly, some keys are stuck. Film answer tax different carry represent."/>
    <x v="0"/>
    <n v="4.1311111110000001"/>
    <d v="2025-08-03T03:02:00"/>
    <x v="44"/>
    <x v="6"/>
    <x v="3"/>
    <x v="15"/>
    <n v="106"/>
    <n v="52.073582289999997"/>
  </r>
  <r>
    <x v="45"/>
    <s v="2025-07-05 09:41:53.761841"/>
    <x v="45"/>
    <x v="1"/>
    <x v="1"/>
    <s v="Application X is crashing every time I open it. American computer let go event."/>
    <x v="0"/>
    <n v="11.384444439999999"/>
    <d v="2025-07-05T09:41:00"/>
    <x v="45"/>
    <x v="4"/>
    <x v="2"/>
    <x v="2"/>
    <n v="105"/>
    <n v="52.530177250000001"/>
  </r>
  <r>
    <x v="46"/>
    <s v="2025-08-30 13:43:05.708992"/>
    <x v="46"/>
    <x v="4"/>
    <x v="4"/>
    <s v="Can't connect to the Wi-Fi. It's showing 'No internet access'. Build oil wait community less happen."/>
    <x v="1"/>
    <n v="45.981388889999998"/>
    <d v="2025-08-30T13:43:00"/>
    <x v="46"/>
    <x v="4"/>
    <x v="3"/>
    <x v="10"/>
    <n v="104"/>
    <n v="52.925809289999997"/>
  </r>
  <r>
    <x v="47"/>
    <s v="2025-06-22 15:23:40.594327"/>
    <x v="47"/>
    <x v="3"/>
    <x v="1"/>
    <s v="I'm locked out of my account and can't reset my password. Decide stuff agree national politics current son."/>
    <x v="2"/>
    <n v="117.5608333"/>
    <d v="2025-06-22T15:23:00"/>
    <x v="47"/>
    <x v="6"/>
    <x v="0"/>
    <x v="20"/>
    <n v="103"/>
    <n v="52.993230850000003"/>
  </r>
  <r>
    <x v="48"/>
    <s v="2025-07-03 03:12:43.187232"/>
    <x v="48"/>
    <x v="4"/>
    <x v="1"/>
    <s v="Can't connect to the Wi-Fi. It's showing 'No internet access'. Phone interview worker could."/>
    <x v="1"/>
    <n v="12.453055559999999"/>
    <d v="2025-07-03T03:12:00"/>
    <x v="48"/>
    <x v="2"/>
    <x v="2"/>
    <x v="15"/>
    <n v="102"/>
    <n v="52.360215140000001"/>
  </r>
  <r>
    <x v="49"/>
    <s v="2025-08-09 17:51:19.183528"/>
    <x v="49"/>
    <x v="4"/>
    <x v="1"/>
    <s v="Can't connect to the Wi-Fi. It's showing 'No internet access'. Together life least mission."/>
    <x v="1"/>
    <n v="26.69055556"/>
    <d v="2025-08-09T17:51:00"/>
    <x v="49"/>
    <x v="4"/>
    <x v="3"/>
    <x v="3"/>
    <n v="101"/>
    <n v="52.755335530000004"/>
  </r>
  <r>
    <x v="50"/>
    <s v="2025-07-23 08:22:42.095245"/>
    <x v="50"/>
    <x v="0"/>
    <x v="3"/>
    <s v="If forget newspaper behavior note put. Almost affect entire. Trial set capital real."/>
    <x v="2"/>
    <n v="110.78638890000001"/>
    <d v="2025-07-23T08:22:00"/>
    <x v="50"/>
    <x v="3"/>
    <x v="2"/>
    <x v="19"/>
    <n v="100"/>
    <n v="53.015983329999997"/>
  </r>
  <r>
    <x v="51"/>
    <s v="2025-07-31 19:51:43.484115"/>
    <x v="51"/>
    <x v="1"/>
    <x v="1"/>
    <s v="Application X is crashing every time I open it. My sound short."/>
    <x v="2"/>
    <n v="149.55611110000001"/>
    <d v="2025-07-31T19:51:00"/>
    <x v="51"/>
    <x v="2"/>
    <x v="2"/>
    <x v="1"/>
    <n v="99"/>
    <n v="52.432443880000001"/>
  </r>
  <r>
    <x v="52"/>
    <s v="2025-06-29 02:21:49.693987"/>
    <x v="52"/>
    <x v="1"/>
    <x v="3"/>
    <s v="Application X is crashing every time I open it. Where culture site value set."/>
    <x v="1"/>
    <n v="15.09888889"/>
    <d v="2025-06-29T02:21:00"/>
    <x v="52"/>
    <x v="6"/>
    <x v="0"/>
    <x v="21"/>
    <n v="98"/>
    <n v="51.441386049999998"/>
  </r>
  <r>
    <x v="53"/>
    <s v="2025-08-15 20:41:48.481773"/>
    <x v="53"/>
    <x v="1"/>
    <x v="1"/>
    <s v="Application X is crashing every time I open it. Go claim billion small experience old."/>
    <x v="1"/>
    <n v="13.19722222"/>
    <d v="2025-08-15T20:41:00"/>
    <x v="53"/>
    <x v="0"/>
    <x v="3"/>
    <x v="5"/>
    <n v="97"/>
    <n v="51.816050969999999"/>
  </r>
  <r>
    <x v="54"/>
    <s v="2025-07-15 09:00:06.200781"/>
    <x v="54"/>
    <x v="4"/>
    <x v="2"/>
    <s v="Can't connect to the Wi-Fi. It's showing 'No internet access'. Option name including."/>
    <x v="0"/>
    <n v="10.05083333"/>
    <d v="2025-07-15T09:00:00"/>
    <x v="54"/>
    <x v="5"/>
    <x v="2"/>
    <x v="2"/>
    <n v="96"/>
    <n v="52.218330440000003"/>
  </r>
  <r>
    <x v="55"/>
    <s v="2025-06-21 01:06:48.344880"/>
    <x v="55"/>
    <x v="3"/>
    <x v="1"/>
    <s v="I'm locked out of my account and can't reset my password. Idea enter expert decision something."/>
    <x v="1"/>
    <n v="40.683333330000004"/>
    <d v="2025-06-21T01:06:00"/>
    <x v="55"/>
    <x v="4"/>
    <x v="0"/>
    <x v="11"/>
    <n v="95"/>
    <n v="52.662198830000001"/>
  </r>
  <r>
    <x v="56"/>
    <s v="2025-08-02 07:52:12.724484"/>
    <x v="56"/>
    <x v="0"/>
    <x v="3"/>
    <s v="Through culture similar finally. Oil world money about fine street small."/>
    <x v="1"/>
    <n v="30.605833329999999"/>
    <d v="2025-08-02T07:52:00"/>
    <x v="56"/>
    <x v="4"/>
    <x v="3"/>
    <x v="7"/>
    <n v="94"/>
    <n v="52.789633569999999"/>
  </r>
  <r>
    <x v="57"/>
    <s v="2025-07-22 08:29:34.643399"/>
    <x v="57"/>
    <x v="5"/>
    <x v="6"/>
    <s v="Weight go sort sign law response since. Sister other actually Mrs fight everything get."/>
    <x v="2"/>
    <n v="166.3230556"/>
    <d v="2025-07-22T08:29:00"/>
    <x v="57"/>
    <x v="5"/>
    <x v="2"/>
    <x v="19"/>
    <n v="93"/>
    <n v="53.028169060000003"/>
  </r>
  <r>
    <x v="58"/>
    <s v="2025-08-06 13:42:50.714289"/>
    <x v="58"/>
    <x v="0"/>
    <x v="6"/>
    <s v="Particular ask company nearly exist exactly friend."/>
    <x v="1"/>
    <n v="41.563055560000002"/>
    <d v="2025-08-06T13:42:00"/>
    <x v="58"/>
    <x v="3"/>
    <x v="3"/>
    <x v="10"/>
    <n v="92"/>
    <n v="51.7967029"/>
  </r>
  <r>
    <x v="59"/>
    <s v="2025-06-19 06:37:43.399303"/>
    <x v="59"/>
    <x v="1"/>
    <x v="5"/>
    <s v="Application X is crashing every time I open it. Skin subject purpose baby training."/>
    <x v="1"/>
    <n v="31.670833330000001"/>
    <d v="2025-06-19T06:37:00"/>
    <x v="59"/>
    <x v="2"/>
    <x v="0"/>
    <x v="22"/>
    <n v="91"/>
    <n v="51.909160559999997"/>
  </r>
  <r>
    <x v="60"/>
    <s v="2025-08-27 11:05:37.961450"/>
    <x v="60"/>
    <x v="2"/>
    <x v="3"/>
    <s v="My laptop's keyboard isn't working properly, some keys are stuck. Than none office improve."/>
    <x v="1"/>
    <n v="24.736944439999998"/>
    <d v="2025-08-27T11:05:00"/>
    <x v="60"/>
    <x v="3"/>
    <x v="3"/>
    <x v="12"/>
    <n v="90"/>
    <n v="52.134030860000003"/>
  </r>
  <r>
    <x v="61"/>
    <s v="2025-09-10 20:19:38.288785"/>
    <x v="61"/>
    <x v="1"/>
    <x v="0"/>
    <s v="Application X is crashing every time I open it. With because article scene father black."/>
    <x v="1"/>
    <n v="37.730833330000003"/>
    <d v="2025-09-10T20:19:00"/>
    <x v="61"/>
    <x v="3"/>
    <x v="1"/>
    <x v="5"/>
    <n v="89"/>
    <n v="52.441863300000001"/>
  </r>
  <r>
    <x v="62"/>
    <s v="2025-07-01 16:39:40.177212"/>
    <x v="62"/>
    <x v="1"/>
    <x v="7"/>
    <s v="Application X is crashing every time I open it. Food pass energy fund need read anything."/>
    <x v="1"/>
    <n v="23.700555560000002"/>
    <d v="2025-07-01T16:39:00"/>
    <x v="62"/>
    <x v="5"/>
    <x v="2"/>
    <x v="8"/>
    <n v="88"/>
    <n v="52.609034090000002"/>
  </r>
  <r>
    <x v="63"/>
    <s v="2025-08-02 07:57:08.874598"/>
    <x v="63"/>
    <x v="3"/>
    <x v="7"/>
    <s v="I'm locked out of my account and can't reset my password. Agreement news significant cultural agree."/>
    <x v="0"/>
    <n v="7.9744444440000004"/>
    <d v="2025-08-02T07:57:00"/>
    <x v="63"/>
    <x v="4"/>
    <x v="3"/>
    <x v="7"/>
    <n v="87"/>
    <n v="52.941315449999998"/>
  </r>
  <r>
    <x v="64"/>
    <s v="2025-09-10 05:58:12.323939"/>
    <x v="64"/>
    <x v="3"/>
    <x v="4"/>
    <s v="I'm locked out of my account and can't reset my password. Especially under always tend teacher build."/>
    <x v="1"/>
    <n v="8.0619444439999999"/>
    <d v="2025-09-10T05:58:00"/>
    <x v="64"/>
    <x v="3"/>
    <x v="1"/>
    <x v="16"/>
    <n v="86"/>
    <n v="53.464186050000002"/>
  </r>
  <r>
    <x v="65"/>
    <s v="2025-08-17 19:11:15.544818"/>
    <x v="65"/>
    <x v="4"/>
    <x v="0"/>
    <s v="Can't connect to the Wi-Fi. It's showing 'No internet access'. Child as debate economy."/>
    <x v="1"/>
    <n v="14.739166669999999"/>
    <d v="2025-08-17T19:11:00"/>
    <x v="65"/>
    <x v="6"/>
    <x v="3"/>
    <x v="1"/>
    <n v="85"/>
    <n v="53.998330070000002"/>
  </r>
  <r>
    <x v="66"/>
    <s v="2025-07-18 06:21:57.631691"/>
    <x v="66"/>
    <x v="2"/>
    <x v="2"/>
    <s v="My laptop's keyboard isn't working properly, some keys are stuck. Someone poor mission fill free."/>
    <x v="2"/>
    <n v="133.72527779999999"/>
    <d v="2025-07-18T06:21:00"/>
    <x v="66"/>
    <x v="0"/>
    <x v="2"/>
    <x v="22"/>
    <n v="84"/>
    <n v="54.465701060000001"/>
  </r>
  <r>
    <x v="67"/>
    <s v="2025-07-06 02:18:18.909541"/>
    <x v="67"/>
    <x v="4"/>
    <x v="7"/>
    <s v="Can't connect to the Wi-Fi. It's showing 'No internet access'. Represent safe scene wall dog."/>
    <x v="1"/>
    <n v="34.744999999999997"/>
    <d v="2025-07-06T02:18:00"/>
    <x v="67"/>
    <x v="6"/>
    <x v="2"/>
    <x v="21"/>
    <n v="83"/>
    <n v="53.510766400000001"/>
  </r>
  <r>
    <x v="68"/>
    <s v="2025-08-25 22:46:49.530301"/>
    <x v="68"/>
    <x v="1"/>
    <x v="5"/>
    <s v="Application X is crashing every time I open it. Claim success those baby."/>
    <x v="2"/>
    <n v="78.502777780000002"/>
    <d v="2025-08-25T22:46:00"/>
    <x v="68"/>
    <x v="1"/>
    <x v="3"/>
    <x v="0"/>
    <n v="82"/>
    <n v="53.739617209999999"/>
  </r>
  <r>
    <x v="69"/>
    <s v="2025-09-07 00:30:29.130082"/>
    <x v="69"/>
    <x v="1"/>
    <x v="4"/>
    <s v="Application X is crashing every time I open it. Term lot their. Dark itself deal race Democrat."/>
    <x v="1"/>
    <n v="24.108888889999999"/>
    <d v="2025-09-07T00:30:00"/>
    <x v="69"/>
    <x v="6"/>
    <x v="1"/>
    <x v="17"/>
    <n v="81"/>
    <n v="53.433899179999997"/>
  </r>
  <r>
    <x v="70"/>
    <s v="2025-07-21 21:58:20.651590"/>
    <x v="70"/>
    <x v="2"/>
    <x v="7"/>
    <s v="My laptop's keyboard isn't working properly, some keys are stuck. Bad past glass strategy. Above skin station."/>
    <x v="3"/>
    <n v="3.2174999999999998"/>
    <d v="2025-07-21T21:58:00"/>
    <x v="70"/>
    <x v="1"/>
    <x v="2"/>
    <x v="4"/>
    <n v="80"/>
    <n v="53.800461810000002"/>
  </r>
  <r>
    <x v="71"/>
    <s v="2025-07-24 12:55:26.600680"/>
    <x v="71"/>
    <x v="1"/>
    <x v="2"/>
    <s v="Application X is crashing every time I open it. Tv control generation away public remain."/>
    <x v="1"/>
    <n v="20.04972222"/>
    <d v="2025-07-24T12:55:00"/>
    <x v="71"/>
    <x v="2"/>
    <x v="2"/>
    <x v="14"/>
    <n v="79"/>
    <n v="54.440752459999999"/>
  </r>
  <r>
    <x v="72"/>
    <s v="2025-06-18 07:42:24.174594"/>
    <x v="72"/>
    <x v="4"/>
    <x v="7"/>
    <s v="Can't connect to the Wi-Fi. It's showing 'No internet access'. Alone skill foot benefit."/>
    <x v="1"/>
    <n v="37.835277779999998"/>
    <d v="2025-06-18T07:42:00"/>
    <x v="72"/>
    <x v="3"/>
    <x v="0"/>
    <x v="7"/>
    <n v="78"/>
    <n v="54.881663109999998"/>
  </r>
  <r>
    <x v="73"/>
    <s v="2025-09-03 02:34:13.443388"/>
    <x v="73"/>
    <x v="0"/>
    <x v="8"/>
    <s v="Media respond them indicate. Up movie television stop. Garden ten city already close."/>
    <x v="0"/>
    <n v="8.1097222220000003"/>
    <d v="2025-09-03T02:34:00"/>
    <x v="73"/>
    <x v="3"/>
    <x v="1"/>
    <x v="21"/>
    <n v="77"/>
    <n v="55.103044730000001"/>
  </r>
  <r>
    <x v="74"/>
    <s v="2025-08-08 23:17:56.438731"/>
    <x v="74"/>
    <x v="5"/>
    <x v="1"/>
    <s v="Lay support mouth control understand could. Husband for evening upon involve."/>
    <x v="2"/>
    <n v="144.03055560000001"/>
    <d v="2025-08-08T23:17:00"/>
    <x v="74"/>
    <x v="0"/>
    <x v="3"/>
    <x v="13"/>
    <n v="76"/>
    <n v="55.721377920000002"/>
  </r>
  <r>
    <x v="75"/>
    <s v="2025-08-28 01:48:14.314756"/>
    <x v="75"/>
    <x v="0"/>
    <x v="7"/>
    <s v="Company month civil season include. Onto life for both little."/>
    <x v="0"/>
    <n v="7.8786111109999997"/>
    <d v="2025-08-28T01:48:00"/>
    <x v="75"/>
    <x v="2"/>
    <x v="3"/>
    <x v="11"/>
    <n v="75"/>
    <n v="54.543922219999999"/>
  </r>
  <r>
    <x v="76"/>
    <s v="2025-07-20 10:31:23.379745"/>
    <x v="76"/>
    <x v="1"/>
    <x v="1"/>
    <s v="Application X is crashing every time I open it. Candidate push mind exactly feel."/>
    <x v="0"/>
    <n v="3.6636111109999998"/>
    <d v="2025-07-20T10:31:00"/>
    <x v="76"/>
    <x v="6"/>
    <x v="2"/>
    <x v="6"/>
    <n v="74"/>
    <n v="55.174534530000003"/>
  </r>
  <r>
    <x v="77"/>
    <s v="2025-07-17 15:42:37.762034"/>
    <x v="77"/>
    <x v="5"/>
    <x v="5"/>
    <s v="Writer city suffer within important recently difference. Wait only relationship free."/>
    <x v="0"/>
    <n v="6.9613888890000002"/>
    <d v="2025-07-17T15:42:00"/>
    <x v="77"/>
    <x v="2"/>
    <x v="2"/>
    <x v="20"/>
    <n v="73"/>
    <n v="55.880163619999998"/>
  </r>
  <r>
    <x v="78"/>
    <s v="2025-07-23 19:59:03.578013"/>
    <x v="78"/>
    <x v="1"/>
    <x v="1"/>
    <s v="Application X is crashing every time I open it. Form customer bill interest remember which."/>
    <x v="2"/>
    <n v="63.510833329999997"/>
    <d v="2025-07-23T19:59:00"/>
    <x v="78"/>
    <x v="3"/>
    <x v="2"/>
    <x v="1"/>
    <n v="72"/>
    <n v="56.559591050000002"/>
  </r>
  <r>
    <x v="79"/>
    <s v="2025-06-27 20:58:34.468465"/>
    <x v="79"/>
    <x v="4"/>
    <x v="1"/>
    <s v="Can't connect to the Wi-Fi. It's showing 'No internet access'. Agree begin guess ask choice low themselves born."/>
    <x v="2"/>
    <n v="95.163888889999996"/>
    <d v="2025-06-27T20:58:00"/>
    <x v="79"/>
    <x v="0"/>
    <x v="0"/>
    <x v="5"/>
    <n v="71"/>
    <n v="56.461686229999998"/>
  </r>
  <r>
    <x v="80"/>
    <s v="2025-06-19 16:43:34.730114"/>
    <x v="80"/>
    <x v="1"/>
    <x v="6"/>
    <s v="Application X is crashing every time I open it. Center worry nor whole."/>
    <x v="2"/>
    <n v="149.81777779999999"/>
    <d v="2025-06-19T16:43:00"/>
    <x v="80"/>
    <x v="2"/>
    <x v="0"/>
    <x v="8"/>
    <n v="70"/>
    <n v="55.908797620000001"/>
  </r>
  <r>
    <x v="81"/>
    <s v="2025-06-27 00:50:44.932765"/>
    <x v="81"/>
    <x v="3"/>
    <x v="3"/>
    <s v="I'm locked out of my account and can't reset my password. Miss son responsibility hour."/>
    <x v="2"/>
    <n v="105.1647222"/>
    <d v="2025-06-27T00:50:00"/>
    <x v="81"/>
    <x v="0"/>
    <x v="0"/>
    <x v="17"/>
    <n v="69"/>
    <n v="54.54779791"/>
  </r>
  <r>
    <x v="82"/>
    <s v="2025-08-10 11:17:27.241787"/>
    <x v="82"/>
    <x v="1"/>
    <x v="1"/>
    <s v="Application X is crashing every time I open it. Develop course foreign no either."/>
    <x v="1"/>
    <n v="45.063888890000001"/>
    <d v="2025-08-10T11:17:00"/>
    <x v="82"/>
    <x v="6"/>
    <x v="3"/>
    <x v="12"/>
    <n v="68"/>
    <n v="53.803431369999998"/>
  </r>
  <r>
    <x v="83"/>
    <s v="2025-07-29 01:49:11.870175"/>
    <x v="83"/>
    <x v="6"/>
    <x v="4"/>
    <s v="Public husband return country service very. Be exactly time firm yard price bad."/>
    <x v="2"/>
    <n v="59.617777779999997"/>
    <d v="2025-07-29T01:49:00"/>
    <x v="83"/>
    <x v="5"/>
    <x v="2"/>
    <x v="11"/>
    <n v="67"/>
    <n v="53.933872309999998"/>
  </r>
  <r>
    <x v="84"/>
    <s v="2025-07-06 10:09:03.984830"/>
    <x v="84"/>
    <x v="2"/>
    <x v="9"/>
    <s v="My laptop's keyboard isn't working properly, some keys are stuck. Perform author more owner girl message."/>
    <x v="2"/>
    <n v="110.19444439999999"/>
    <d v="2025-07-06T10:09:00"/>
    <x v="84"/>
    <x v="6"/>
    <x v="2"/>
    <x v="6"/>
    <n v="66"/>
    <n v="53.847752530000001"/>
  </r>
  <r>
    <x v="85"/>
    <s v="2025-07-30 04:23:33.703824"/>
    <x v="85"/>
    <x v="3"/>
    <x v="5"/>
    <s v="I'm locked out of my account and can't reset my password. Church stop environment."/>
    <x v="0"/>
    <n v="8.7436111109999999"/>
    <d v="2025-07-30T04:23:00"/>
    <x v="85"/>
    <x v="3"/>
    <x v="2"/>
    <x v="23"/>
    <n v="65"/>
    <n v="52.980880339999999"/>
  </r>
  <r>
    <x v="86"/>
    <s v="2025-08-23 05:18:39.454057"/>
    <x v="86"/>
    <x v="1"/>
    <x v="7"/>
    <s v="Application X is crashing every time I open it. Everyone body modern feeling shake loss."/>
    <x v="1"/>
    <n v="35.308611110000001"/>
    <d v="2025-08-23T05:18:00"/>
    <x v="86"/>
    <x v="4"/>
    <x v="3"/>
    <x v="16"/>
    <n v="64"/>
    <n v="53.672087670000003"/>
  </r>
  <r>
    <x v="87"/>
    <s v="2025-07-10 03:11:22.722239"/>
    <x v="87"/>
    <x v="2"/>
    <x v="2"/>
    <s v="My laptop's keyboard isn't working properly, some keys are stuck. Whole material thus despite firm more."/>
    <x v="1"/>
    <n v="20.011111110000002"/>
    <d v="2025-07-10T03:11:00"/>
    <x v="87"/>
    <x v="2"/>
    <x v="2"/>
    <x v="15"/>
    <n v="63"/>
    <n v="53.963571430000002"/>
  </r>
  <r>
    <x v="88"/>
    <s v="2025-09-12 18:58:40.396096"/>
    <x v="88"/>
    <x v="1"/>
    <x v="5"/>
    <s v="Application X is crashing every time I open it. Until statement century seat vote never."/>
    <x v="1"/>
    <n v="31.555"/>
    <d v="2025-09-12T18:58:00"/>
    <x v="88"/>
    <x v="0"/>
    <x v="1"/>
    <x v="18"/>
    <n v="62"/>
    <n v="54.511191760000003"/>
  </r>
  <r>
    <x v="89"/>
    <s v="2025-09-02 15:20:46.366393"/>
    <x v="89"/>
    <x v="1"/>
    <x v="5"/>
    <s v="Application X is crashing every time I open it. Big season the."/>
    <x v="2"/>
    <n v="145.01277780000001"/>
    <d v="2025-09-02T15:20:00"/>
    <x v="89"/>
    <x v="5"/>
    <x v="1"/>
    <x v="20"/>
    <n v="61"/>
    <n v="54.887522769999997"/>
  </r>
  <r>
    <x v="90"/>
    <s v="2025-07-12 12:04:36.975885"/>
    <x v="90"/>
    <x v="1"/>
    <x v="0"/>
    <s v="Application X is crashing every time I open it. Usually career attention realize."/>
    <x v="1"/>
    <n v="18.29555556"/>
    <d v="2025-07-12T12:04:00"/>
    <x v="90"/>
    <x v="4"/>
    <x v="2"/>
    <x v="14"/>
    <n v="60"/>
    <n v="53.385435190000003"/>
  </r>
  <r>
    <x v="91"/>
    <s v="2025-08-06 04:36:43.313052"/>
    <x v="91"/>
    <x v="1"/>
    <x v="5"/>
    <s v="Application X is crashing every time I open it. Firm tonight statement feel Mrs music."/>
    <x v="2"/>
    <n v="150.53805560000001"/>
    <d v="2025-08-06T04:36:00"/>
    <x v="91"/>
    <x v="3"/>
    <x v="3"/>
    <x v="23"/>
    <n v="59"/>
    <n v="53.980178909999999"/>
  </r>
  <r>
    <x v="92"/>
    <s v="2025-06-24 12:26:09.684494"/>
    <x v="92"/>
    <x v="4"/>
    <x v="3"/>
    <s v="Can't connect to the Wi-Fi. It's showing 'No internet access'. Life change act. Through imagine again whole."/>
    <x v="1"/>
    <n v="46.391111109999997"/>
    <d v="2025-06-24T12:26:00"/>
    <x v="92"/>
    <x v="5"/>
    <x v="0"/>
    <x v="14"/>
    <n v="58"/>
    <n v="52.31538793"/>
  </r>
  <r>
    <x v="93"/>
    <s v="2025-06-25 21:27:43.152276"/>
    <x v="93"/>
    <x v="0"/>
    <x v="3"/>
    <s v="Including development attack wide. Concern his environment attack program rest team."/>
    <x v="2"/>
    <n v="81.685555559999997"/>
    <d v="2025-06-25T21:27:00"/>
    <x v="93"/>
    <x v="3"/>
    <x v="0"/>
    <x v="4"/>
    <n v="57"/>
    <n v="52.419322610000002"/>
  </r>
  <r>
    <x v="94"/>
    <s v="2025-07-25 15:06:41.157826"/>
    <x v="94"/>
    <x v="3"/>
    <x v="7"/>
    <s v="I'm locked out of my account and can't reset my password. Another collection another many."/>
    <x v="2"/>
    <n v="105.6091667"/>
    <d v="2025-07-25T15:06:00"/>
    <x v="94"/>
    <x v="0"/>
    <x v="2"/>
    <x v="20"/>
    <n v="56"/>
    <n v="51.896711310000001"/>
  </r>
  <r>
    <x v="95"/>
    <s v="2025-07-25 17:47:28.501342"/>
    <x v="95"/>
    <x v="0"/>
    <x v="0"/>
    <s v="Compare or at environmental. Six what them fall. Husband certain institution phone resource blood."/>
    <x v="1"/>
    <n v="28.031111110000001"/>
    <d v="2025-07-25T17:47:00"/>
    <x v="95"/>
    <x v="0"/>
    <x v="2"/>
    <x v="3"/>
    <n v="55"/>
    <n v="50.920121209999998"/>
  </r>
  <r>
    <x v="96"/>
    <s v="2025-08-12 17:49:44.814129"/>
    <x v="96"/>
    <x v="3"/>
    <x v="4"/>
    <s v="I'm locked out of my account and can't reset my password. Medical let door front. Law end always."/>
    <x v="2"/>
    <n v="43.743055560000002"/>
    <d v="2025-08-12T17:49:00"/>
    <x v="96"/>
    <x v="5"/>
    <x v="3"/>
    <x v="3"/>
    <n v="54"/>
    <n v="51.343991770000002"/>
  </r>
  <r>
    <x v="97"/>
    <s v="2025-07-25 21:16:19.313944"/>
    <x v="97"/>
    <x v="2"/>
    <x v="5"/>
    <s v="My laptop's keyboard isn't working properly, some keys are stuck. Rich fire power city. Water career next relate."/>
    <x v="2"/>
    <n v="160.21083329999999"/>
    <d v="2025-07-25T21:16:00"/>
    <x v="97"/>
    <x v="0"/>
    <x v="2"/>
    <x v="4"/>
    <n v="53"/>
    <n v="51.48740566"/>
  </r>
  <r>
    <x v="98"/>
    <s v="2025-09-14 19:22:48.195986"/>
    <x v="98"/>
    <x v="1"/>
    <x v="1"/>
    <s v="Application X is crashing every time I open it. Result happy song want finish stuff."/>
    <x v="0"/>
    <n v="3.0616666669999999"/>
    <d v="2025-09-14T19:22:00"/>
    <x v="98"/>
    <x v="6"/>
    <x v="1"/>
    <x v="1"/>
    <n v="52"/>
    <n v="49.396570509999997"/>
  </r>
  <r>
    <x v="99"/>
    <s v="2025-07-31 00:15:23.382048"/>
    <x v="99"/>
    <x v="2"/>
    <x v="4"/>
    <s v="My laptop's keyboard isn't working properly, some keys are stuck. Themselves big matter happy small."/>
    <x v="1"/>
    <n v="8.8113888889999998"/>
    <d v="2025-07-31T00:15:00"/>
    <x v="99"/>
    <x v="2"/>
    <x v="2"/>
    <x v="17"/>
    <n v="51"/>
    <n v="50.305098039999997"/>
  </r>
  <r>
    <x v="100"/>
    <s v="2025-08-17 13:13:43.618729"/>
    <x v="100"/>
    <x v="1"/>
    <x v="5"/>
    <s v="Application X is crashing every time I open it. Agent will respond help."/>
    <x v="3"/>
    <n v="2.0686111110000001"/>
    <d v="2025-08-17T13:13:00"/>
    <x v="100"/>
    <x v="6"/>
    <x v="3"/>
    <x v="10"/>
    <n v="50"/>
    <n v="51.134972220000002"/>
  </r>
  <r>
    <x v="101"/>
    <s v="2025-09-11 12:55:10.618615"/>
    <x v="101"/>
    <x v="1"/>
    <x v="7"/>
    <s v="Application X is crashing every time I open it. Short commercial everybody difficult change."/>
    <x v="1"/>
    <n v="41.605277780000002"/>
    <d v="2025-09-11T12:55:00"/>
    <x v="101"/>
    <x v="2"/>
    <x v="1"/>
    <x v="14"/>
    <n v="49"/>
    <n v="52.136326529999998"/>
  </r>
  <r>
    <x v="102"/>
    <s v="2025-07-01 08:49:20.110396"/>
    <x v="102"/>
    <x v="0"/>
    <x v="5"/>
    <s v="Any today within none hot again green. Remember attack event view father."/>
    <x v="2"/>
    <n v="26.52305556"/>
    <d v="2025-07-01T08:49:00"/>
    <x v="102"/>
    <x v="5"/>
    <x v="2"/>
    <x v="19"/>
    <n v="48"/>
    <n v="52.355723380000001"/>
  </r>
  <r>
    <x v="103"/>
    <s v="2025-06-25 22:36:02.761947"/>
    <x v="103"/>
    <x v="1"/>
    <x v="9"/>
    <s v="Application X is crashing every time I open it. Represent senior his finish include nothing."/>
    <x v="1"/>
    <n v="11.395"/>
    <d v="2025-06-25T22:36:00"/>
    <x v="103"/>
    <x v="3"/>
    <x v="0"/>
    <x v="0"/>
    <n v="47"/>
    <n v="52.905354610000003"/>
  </r>
  <r>
    <x v="104"/>
    <s v="2025-09-06 06:19:01.311092"/>
    <x v="104"/>
    <x v="6"/>
    <x v="9"/>
    <s v="She certain boy build. Test bag country president environment."/>
    <x v="0"/>
    <n v="4.2905555550000001"/>
    <d v="2025-09-06T06:19:00"/>
    <x v="104"/>
    <x v="4"/>
    <x v="1"/>
    <x v="22"/>
    <n v="46"/>
    <n v="53.80775362"/>
  </r>
  <r>
    <x v="105"/>
    <s v="2025-08-03 06:45:06.197430"/>
    <x v="105"/>
    <x v="4"/>
    <x v="8"/>
    <s v="Can't connect to the Wi-Fi. It's showing 'No internet access'. Hair job save son."/>
    <x v="2"/>
    <n v="57.938055560000002"/>
    <d v="2025-08-03T06:45:00"/>
    <x v="105"/>
    <x v="6"/>
    <x v="3"/>
    <x v="22"/>
    <n v="45"/>
    <n v="54.908135799999997"/>
  </r>
  <r>
    <x v="106"/>
    <s v="2025-08-17 12:18:01.697423"/>
    <x v="106"/>
    <x v="6"/>
    <x v="2"/>
    <s v="Growth middle establish public."/>
    <x v="1"/>
    <n v="30.193333330000002"/>
    <d v="2025-08-17T12:18:00"/>
    <x v="106"/>
    <x v="6"/>
    <x v="3"/>
    <x v="14"/>
    <n v="44"/>
    <n v="54.839273990000002"/>
  </r>
  <r>
    <x v="107"/>
    <s v="2025-07-28 14:54:11.938799"/>
    <x v="107"/>
    <x v="2"/>
    <x v="1"/>
    <s v="My laptop's keyboard isn't working properly, some keys are stuck. Produce require line letter listen often."/>
    <x v="2"/>
    <n v="65.283333330000005"/>
    <d v="2025-07-28T14:54:00"/>
    <x v="107"/>
    <x v="1"/>
    <x v="2"/>
    <x v="9"/>
    <n v="43"/>
    <n v="55.4124354"/>
  </r>
  <r>
    <x v="108"/>
    <s v="2025-07-12 06:57:35.470032"/>
    <x v="108"/>
    <x v="2"/>
    <x v="2"/>
    <s v="My laptop's keyboard isn't working properly, some keys are stuck. At bag continue."/>
    <x v="0"/>
    <n v="4.9788888890000003"/>
    <d v="2025-07-12T06:57:00"/>
    <x v="108"/>
    <x v="4"/>
    <x v="2"/>
    <x v="22"/>
    <n v="42"/>
    <n v="55.177414020000001"/>
  </r>
  <r>
    <x v="109"/>
    <s v="2025-07-13 00:24:12.746402"/>
    <x v="109"/>
    <x v="1"/>
    <x v="2"/>
    <s v="Application X is crashing every time I open it. Without pass book tend."/>
    <x v="2"/>
    <n v="166.00638889999999"/>
    <d v="2025-07-13T00:24:00"/>
    <x v="109"/>
    <x v="6"/>
    <x v="2"/>
    <x v="17"/>
    <n v="41"/>
    <n v="56.40176829"/>
  </r>
  <r>
    <x v="110"/>
    <s v="2025-07-14 05:56:23.534599"/>
    <x v="110"/>
    <x v="3"/>
    <x v="7"/>
    <s v="I'm locked out of my account and can't reset my password. Right where add."/>
    <x v="0"/>
    <n v="6.6577777779999998"/>
    <d v="2025-07-14T05:56:00"/>
    <x v="110"/>
    <x v="1"/>
    <x v="2"/>
    <x v="16"/>
    <n v="40"/>
    <n v="53.661652779999997"/>
  </r>
  <r>
    <x v="111"/>
    <s v="2025-08-28 11:29:54.578457"/>
    <x v="111"/>
    <x v="1"/>
    <x v="2"/>
    <s v="Application X is crashing every time I open it. Argue team senior low training."/>
    <x v="2"/>
    <n v="167.1716667"/>
    <d v="2025-08-28T11:29:00"/>
    <x v="111"/>
    <x v="2"/>
    <x v="3"/>
    <x v="12"/>
    <n v="39"/>
    <n v="54.866880340000002"/>
  </r>
  <r>
    <x v="112"/>
    <s v="2025-08-28 08:02:11.124029"/>
    <x v="112"/>
    <x v="5"/>
    <x v="1"/>
    <s v="Plant attack should. Drive international today. Pretty statement her upon nation."/>
    <x v="2"/>
    <n v="116.64555559999999"/>
    <d v="2025-08-28T08:02:00"/>
    <x v="112"/>
    <x v="2"/>
    <x v="3"/>
    <x v="19"/>
    <n v="38"/>
    <n v="51.911491230000003"/>
  </r>
  <r>
    <x v="113"/>
    <s v="2025-08-20 11:19:48.141910"/>
    <x v="113"/>
    <x v="2"/>
    <x v="3"/>
    <s v="My laptop's keyboard isn't working properly, some keys are stuck. Chance place build body population."/>
    <x v="0"/>
    <n v="2.1963888890000001"/>
    <d v="2025-08-20T11:19:00"/>
    <x v="113"/>
    <x v="3"/>
    <x v="3"/>
    <x v="12"/>
    <n v="37"/>
    <n v="50.161921919999997"/>
  </r>
  <r>
    <x v="114"/>
    <s v="2025-06-26 06:39:15.099544"/>
    <x v="114"/>
    <x v="0"/>
    <x v="4"/>
    <s v="Something million activity. Interview under cover career under. Can address show public."/>
    <x v="1"/>
    <n v="14.47027778"/>
    <d v="2025-06-26T06:39:00"/>
    <x v="114"/>
    <x v="2"/>
    <x v="0"/>
    <x v="22"/>
    <n v="36"/>
    <n v="51.494297840000002"/>
  </r>
  <r>
    <x v="115"/>
    <s v="2025-09-04 00:02:16.937108"/>
    <x v="115"/>
    <x v="3"/>
    <x v="9"/>
    <s v="I'm locked out of my account and can't reset my password. Receive nature option oil read trouble."/>
    <x v="2"/>
    <n v="113.80861109999999"/>
    <d v="2025-09-04T00:02:00"/>
    <x v="115"/>
    <x v="2"/>
    <x v="1"/>
    <x v="17"/>
    <n v="35"/>
    <n v="52.552126979999997"/>
  </r>
  <r>
    <x v="116"/>
    <s v="2025-07-14 03:29:18.113669"/>
    <x v="116"/>
    <x v="1"/>
    <x v="2"/>
    <s v="Application X is crashing every time I open it. Toward ago director condition food share meet."/>
    <x v="1"/>
    <n v="32.350555559999997"/>
    <d v="2025-07-14T03:29:00"/>
    <x v="116"/>
    <x v="1"/>
    <x v="2"/>
    <x v="15"/>
    <n v="34"/>
    <n v="50.750465689999999"/>
  </r>
  <r>
    <x v="117"/>
    <s v="2025-07-24 06:40:03.461593"/>
    <x v="117"/>
    <x v="3"/>
    <x v="8"/>
    <s v="I'm locked out of my account and can't reset my password. For we when drive. Start identify now throw."/>
    <x v="1"/>
    <n v="43.645277780000001"/>
    <d v="2025-07-24T06:40:00"/>
    <x v="117"/>
    <x v="2"/>
    <x v="2"/>
    <x v="22"/>
    <n v="33"/>
    <n v="51.308038719999999"/>
  </r>
  <r>
    <x v="118"/>
    <s v="2025-08-03 22:42:22.688718"/>
    <x v="118"/>
    <x v="6"/>
    <x v="5"/>
    <s v="Even focus animal civil quality lay skill. Need maybe former return."/>
    <x v="2"/>
    <n v="158.29277780000001"/>
    <d v="2025-08-03T22:42:00"/>
    <x v="118"/>
    <x v="6"/>
    <x v="3"/>
    <x v="0"/>
    <n v="32"/>
    <n v="51.547499999999999"/>
  </r>
  <r>
    <x v="119"/>
    <s v="2025-07-12 00:15:34.413922"/>
    <x v="119"/>
    <x v="2"/>
    <x v="1"/>
    <s v="My laptop's keyboard isn't working properly, some keys are stuck. Cup money work certainly color."/>
    <x v="1"/>
    <n v="18.82833333"/>
    <d v="2025-07-12T00:15:00"/>
    <x v="119"/>
    <x v="4"/>
    <x v="2"/>
    <x v="17"/>
    <n v="31"/>
    <n v="48.104103940000002"/>
  </r>
  <r>
    <x v="120"/>
    <s v="2025-07-19 13:02:21.510314"/>
    <x v="120"/>
    <x v="0"/>
    <x v="4"/>
    <s v="Clear late win beat. Those arm say year him science door."/>
    <x v="1"/>
    <n v="18.383888890000001"/>
    <d v="2025-07-19T13:02:00"/>
    <x v="120"/>
    <x v="4"/>
    <x v="2"/>
    <x v="10"/>
    <n v="30"/>
    <n v="49.079962960000003"/>
  </r>
  <r>
    <x v="121"/>
    <s v="2025-06-29 20:08:29.765594"/>
    <x v="121"/>
    <x v="3"/>
    <x v="7"/>
    <s v="I'm locked out of my account and can't reset my password. Purpose almost nature create authority company."/>
    <x v="1"/>
    <n v="14.38722222"/>
    <d v="2025-06-29T20:08:00"/>
    <x v="121"/>
    <x v="6"/>
    <x v="0"/>
    <x v="5"/>
    <n v="29"/>
    <n v="50.138448279999999"/>
  </r>
  <r>
    <x v="122"/>
    <s v="2025-07-29 14:50:16.720665"/>
    <x v="122"/>
    <x v="1"/>
    <x v="0"/>
    <s v="Application X is crashing every time I open it. Garden better chance impact where how member."/>
    <x v="1"/>
    <n v="18.57527778"/>
    <d v="2025-07-29T14:50:00"/>
    <x v="122"/>
    <x v="5"/>
    <x v="2"/>
    <x v="9"/>
    <n v="28"/>
    <n v="51.415277779999997"/>
  </r>
  <r>
    <x v="123"/>
    <s v="2025-08-19 01:11:31.004509"/>
    <x v="123"/>
    <x v="4"/>
    <x v="1"/>
    <s v="Can't connect to the Wi-Fi. It's showing 'No internet access'. Bag without else red. Able year decision others."/>
    <x v="1"/>
    <n v="41.916944440000002"/>
    <d v="2025-08-19T01:11:00"/>
    <x v="123"/>
    <x v="5"/>
    <x v="3"/>
    <x v="11"/>
    <n v="27"/>
    <n v="52.631574069999999"/>
  </r>
  <r>
    <x v="124"/>
    <s v="2025-06-25 06:03:58.824067"/>
    <x v="124"/>
    <x v="6"/>
    <x v="9"/>
    <s v="Police machine star. Computer lead control across blue eye force. Parent set professor sit couple."/>
    <x v="1"/>
    <n v="12.70944444"/>
    <d v="2025-06-25T06:03:00"/>
    <x v="124"/>
    <x v="3"/>
    <x v="0"/>
    <x v="22"/>
    <n v="26"/>
    <n v="53.043675210000004"/>
  </r>
  <r>
    <x v="125"/>
    <s v="2025-08-02 18:27:57.528318"/>
    <x v="125"/>
    <x v="6"/>
    <x v="3"/>
    <s v="Group resource dinner knowledge scientist Mr. Police simply enter training too."/>
    <x v="1"/>
    <n v="17.72361111"/>
    <d v="2025-08-02T18:27:00"/>
    <x v="125"/>
    <x v="4"/>
    <x v="3"/>
    <x v="18"/>
    <n v="25"/>
    <n v="54.65704444"/>
  </r>
  <r>
    <x v="126"/>
    <s v="2025-08-26 00:22:42.730375"/>
    <x v="126"/>
    <x v="2"/>
    <x v="5"/>
    <s v="My laptop's keyboard isn't working properly, some keys are stuck. Go wear understand relate."/>
    <x v="2"/>
    <n v="94.7"/>
    <d v="2025-08-26T00:22:00"/>
    <x v="126"/>
    <x v="5"/>
    <x v="3"/>
    <x v="17"/>
    <n v="24"/>
    <n v="56.195937499999999"/>
  </r>
  <r>
    <x v="127"/>
    <s v="2025-07-17 15:23:18.597632"/>
    <x v="127"/>
    <x v="1"/>
    <x v="9"/>
    <s v="Application X is crashing every time I open it. Gas mother rate wind fight success medical."/>
    <x v="2"/>
    <n v="106.0036111"/>
    <d v="2025-07-17T15:23:00"/>
    <x v="127"/>
    <x v="2"/>
    <x v="2"/>
    <x v="20"/>
    <n v="23"/>
    <n v="54.521847829999999"/>
  </r>
  <r>
    <x v="128"/>
    <s v="2025-09-09 17:02:08.077983"/>
    <x v="128"/>
    <x v="4"/>
    <x v="2"/>
    <s v="Can't connect to the Wi-Fi. It's showing 'No internet access'. These entire million eat play sit."/>
    <x v="0"/>
    <n v="8.2744444440000002"/>
    <d v="2025-09-09T17:02:00"/>
    <x v="128"/>
    <x v="5"/>
    <x v="1"/>
    <x v="3"/>
    <n v="22"/>
    <n v="52.18176768"/>
  </r>
  <r>
    <x v="129"/>
    <s v="2025-09-06 17:30:19.172691"/>
    <x v="129"/>
    <x v="0"/>
    <x v="1"/>
    <s v="Draw once season talk forward. Decision partner north realize finish one question."/>
    <x v="1"/>
    <n v="46.645833330000002"/>
    <d v="2025-09-06T17:30:00"/>
    <x v="129"/>
    <x v="4"/>
    <x v="1"/>
    <x v="3"/>
    <n v="21"/>
    <n v="54.272592590000002"/>
  </r>
  <r>
    <x v="130"/>
    <s v="2025-09-10 20:54:16.189442"/>
    <x v="130"/>
    <x v="6"/>
    <x v="6"/>
    <s v="Catch travel form bar pretty himself team. Light suffer evidence land ok may guy."/>
    <x v="2"/>
    <n v="43.714722219999999"/>
    <d v="2025-09-10T20:54:00"/>
    <x v="130"/>
    <x v="3"/>
    <x v="1"/>
    <x v="5"/>
    <n v="20"/>
    <n v="54.653930559999999"/>
  </r>
  <r>
    <x v="131"/>
    <s v="2025-08-10 12:29:53.257769"/>
    <x v="131"/>
    <x v="6"/>
    <x v="2"/>
    <s v="Act believe heavy watch best game part. Too language mean. Cut age personal resource."/>
    <x v="2"/>
    <n v="92.843333329999993"/>
    <d v="2025-08-10T12:29:00"/>
    <x v="131"/>
    <x v="6"/>
    <x v="3"/>
    <x v="14"/>
    <n v="19"/>
    <n v="55.229678360000001"/>
  </r>
  <r>
    <x v="132"/>
    <s v="2025-09-07 02:38:17.205429"/>
    <x v="132"/>
    <x v="0"/>
    <x v="7"/>
    <s v="Year name message voice data. Protect word up today. Break drop already life."/>
    <x v="2"/>
    <n v="83.458611110000007"/>
    <d v="2025-09-07T02:38:00"/>
    <x v="132"/>
    <x v="6"/>
    <x v="1"/>
    <x v="21"/>
    <n v="18"/>
    <n v="53.140030860000003"/>
  </r>
  <r>
    <x v="133"/>
    <s v="2025-07-21 07:07:13.788727"/>
    <x v="133"/>
    <x v="3"/>
    <x v="3"/>
    <s v="I'm locked out of my account and can't reset my password. Maintain tree story research hair why."/>
    <x v="0"/>
    <n v="9.9666666670000001"/>
    <d v="2025-07-21T07:07:00"/>
    <x v="133"/>
    <x v="1"/>
    <x v="2"/>
    <x v="7"/>
    <n v="17"/>
    <n v="51.35658497"/>
  </r>
  <r>
    <x v="134"/>
    <s v="2025-08-15 01:02:49.922573"/>
    <x v="134"/>
    <x v="0"/>
    <x v="5"/>
    <s v="Memory process group arm attack indicate mother. View three prepare by."/>
    <x v="2"/>
    <n v="167.59666669999999"/>
    <d v="2025-08-15T01:02:00"/>
    <x v="134"/>
    <x v="0"/>
    <x v="3"/>
    <x v="11"/>
    <n v="16"/>
    <n v="53.943454860000003"/>
  </r>
  <r>
    <x v="135"/>
    <s v="2025-06-24 05:57:13.641026"/>
    <x v="135"/>
    <x v="5"/>
    <x v="6"/>
    <s v="Foreign sign be money cup raise keep. Right scene market."/>
    <x v="2"/>
    <n v="114.81638890000001"/>
    <d v="2025-06-24T05:57:00"/>
    <x v="135"/>
    <x v="5"/>
    <x v="0"/>
    <x v="16"/>
    <n v="15"/>
    <n v="46.366574069999999"/>
  </r>
  <r>
    <x v="136"/>
    <s v="2025-09-14 17:50:13.174584"/>
    <x v="136"/>
    <x v="2"/>
    <x v="6"/>
    <s v="My laptop's keyboard isn't working properly, some keys are stuck. Certain six among before."/>
    <x v="2"/>
    <n v="77.951388890000004"/>
    <d v="2025-09-14T17:50:00"/>
    <x v="136"/>
    <x v="6"/>
    <x v="1"/>
    <x v="3"/>
    <n v="14"/>
    <n v="41.477301590000003"/>
  </r>
  <r>
    <x v="137"/>
    <s v="2025-06-29 09:14:35.372818"/>
    <x v="137"/>
    <x v="2"/>
    <x v="1"/>
    <s v="My laptop's keyboard isn't working properly, some keys are stuck. Ago his against point garden drug."/>
    <x v="2"/>
    <n v="38.037500000000001"/>
    <d v="2025-06-29T09:14:00"/>
    <x v="137"/>
    <x v="6"/>
    <x v="0"/>
    <x v="2"/>
    <n v="13"/>
    <n v="38.671602559999997"/>
  </r>
  <r>
    <x v="138"/>
    <s v="2025-08-19 13:22:45.582681"/>
    <x v="138"/>
    <x v="1"/>
    <x v="0"/>
    <s v="Application X is crashing every time I open it. Any state food citizen."/>
    <x v="1"/>
    <n v="23.306944439999999"/>
    <d v="2025-08-19T13:22:00"/>
    <x v="138"/>
    <x v="5"/>
    <x v="3"/>
    <x v="10"/>
    <n v="12"/>
    <n v="38.724444439999999"/>
  </r>
  <r>
    <x v="139"/>
    <s v="2025-08-21 14:38:53.279509"/>
    <x v="139"/>
    <x v="4"/>
    <x v="6"/>
    <s v="Can't connect to the Wi-Fi. It's showing 'No internet access'. He particularly begin save area finally word."/>
    <x v="2"/>
    <n v="139.76361109999999"/>
    <d v="2025-08-21T14:38:00"/>
    <x v="139"/>
    <x v="2"/>
    <x v="3"/>
    <x v="9"/>
    <n v="11"/>
    <n v="40.126035350000002"/>
  </r>
  <r>
    <x v="140"/>
    <s v="2025-08-05 10:58:01.834961"/>
    <x v="140"/>
    <x v="2"/>
    <x v="8"/>
    <s v="My laptop's keyboard isn't working properly, some keys are stuck. Serious simply mind cost movie actually."/>
    <x v="1"/>
    <n v="14.8775"/>
    <d v="2025-08-05T10:58:00"/>
    <x v="140"/>
    <x v="5"/>
    <x v="3"/>
    <x v="6"/>
    <n v="10"/>
    <n v="30.16227778"/>
  </r>
  <r>
    <x v="141"/>
    <s v="2025-08-18 10:22:03.058296"/>
    <x v="141"/>
    <x v="2"/>
    <x v="0"/>
    <s v="My laptop's keyboard isn't working properly, some keys are stuck. Social approach mother white."/>
    <x v="1"/>
    <n v="12.86833333"/>
    <d v="2025-08-18T10:22:00"/>
    <x v="141"/>
    <x v="1"/>
    <x v="3"/>
    <x v="6"/>
    <n v="9"/>
    <n v="31.860586420000001"/>
  </r>
  <r>
    <x v="142"/>
    <s v="2025-09-13 16:20:39.446588"/>
    <x v="142"/>
    <x v="4"/>
    <x v="4"/>
    <s v="Can't connect to the Wi-Fi. It's showing 'No internet access'. Enter room up sound nature."/>
    <x v="1"/>
    <n v="29.233333330000001"/>
    <d v="2025-09-13T16:20:00"/>
    <x v="142"/>
    <x v="4"/>
    <x v="1"/>
    <x v="8"/>
    <n v="8"/>
    <n v="34.234618060000003"/>
  </r>
  <r>
    <x v="143"/>
    <s v="2025-08-03 06:49:30.659490"/>
    <x v="143"/>
    <x v="2"/>
    <x v="3"/>
    <s v="My laptop's keyboard isn't working properly, some keys are stuck. Effort to since question."/>
    <x v="2"/>
    <n v="88.001944440000003"/>
    <d v="2025-08-03T06:49:00"/>
    <x v="143"/>
    <x v="6"/>
    <x v="3"/>
    <x v="22"/>
    <n v="7"/>
    <n v="34.949087300000002"/>
  </r>
  <r>
    <x v="144"/>
    <s v="2025-06-27 03:04:19.776603"/>
    <x v="144"/>
    <x v="1"/>
    <x v="8"/>
    <s v="Application X is crashing every time I open it. These drive president building."/>
    <x v="1"/>
    <n v="12.22944444"/>
    <d v="2025-06-27T03:04:00"/>
    <x v="144"/>
    <x v="0"/>
    <x v="0"/>
    <x v="15"/>
    <n v="6"/>
    <n v="26.106944439999999"/>
  </r>
  <r>
    <x v="145"/>
    <s v="2025-08-31 15:49:38.572353"/>
    <x v="145"/>
    <x v="6"/>
    <x v="3"/>
    <s v="Suddenly effort she without without."/>
    <x v="3"/>
    <n v="2.0097222220000002"/>
    <d v="2025-08-31T15:49:00"/>
    <x v="145"/>
    <x v="6"/>
    <x v="3"/>
    <x v="20"/>
    <n v="5"/>
    <n v="28.88244444"/>
  </r>
  <r>
    <x v="146"/>
    <s v="2025-06-24 11:03:21.541487"/>
    <x v="146"/>
    <x v="4"/>
    <x v="6"/>
    <s v="Can't connect to the Wi-Fi. It's showing 'No internet access'. Should that nation can difficult nice."/>
    <x v="0"/>
    <n v="7.8494444440000004"/>
    <d v="2025-06-24T11:03:00"/>
    <x v="146"/>
    <x v="5"/>
    <x v="0"/>
    <x v="12"/>
    <n v="4"/>
    <n v="35.600625000000001"/>
  </r>
  <r>
    <x v="147"/>
    <s v="2025-09-02 16:56:42.393280"/>
    <x v="147"/>
    <x v="5"/>
    <x v="3"/>
    <s v="Look scene real owner agent whose specific. Along they yourself character year or behind."/>
    <x v="2"/>
    <n v="84.074166669999997"/>
    <d v="2025-09-02T16:56:00"/>
    <x v="147"/>
    <x v="5"/>
    <x v="1"/>
    <x v="8"/>
    <n v="3"/>
    <n v="44.851018519999997"/>
  </r>
  <r>
    <x v="148"/>
    <s v="2025-07-16 14:22:14.076374"/>
    <x v="148"/>
    <x v="0"/>
    <x v="7"/>
    <s v="You reflect radio. Especially speech wish interesting wife."/>
    <x v="1"/>
    <n v="26.465833329999999"/>
    <d v="2025-07-16T14:22:00"/>
    <x v="148"/>
    <x v="3"/>
    <x v="2"/>
    <x v="9"/>
    <n v="2"/>
    <n v="25.23944444"/>
  </r>
  <r>
    <x v="149"/>
    <s v="2025-07-31 04:12:38.834236"/>
    <x v="149"/>
    <x v="2"/>
    <x v="0"/>
    <s v="My laptop's keyboard isn't working properly, some keys are stuck. Event pattern factor deep manager work."/>
    <x v="1"/>
    <n v="24.013055560000002"/>
    <d v="2025-07-31T04:12:00"/>
    <x v="149"/>
    <x v="2"/>
    <x v="2"/>
    <x v="23"/>
    <n v="1"/>
    <n v="24.01305556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A6F0E-ACA3-4B14-AFDA-0B93E53BEA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G11:H19" firstHeaderRow="1" firstDataRow="1" firstDataCol="1"/>
  <pivotFields count="17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axis="axisRow" showAll="0" sortType="ascending">
      <items count="8">
        <item x="3"/>
        <item x="6"/>
        <item x="2"/>
        <item x="4"/>
        <item x="0"/>
        <item x="5"/>
        <item x="1"/>
        <item t="default"/>
      </items>
    </pivotField>
    <pivotField showAll="0"/>
    <pivotField showAll="0"/>
    <pivotField showAll="0"/>
    <pivotField dataField="1"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solution time" fld="7" subtotal="average" baseField="0" baseItem="0"/>
  </dataFields>
  <formats count="4">
    <format dxfId="6">
      <pivotArea field="3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</format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38613-4845-4681-B01B-903842C81A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11:B16" firstHeaderRow="1" firstDataRow="1" firstDataCol="1"/>
  <pivotFields count="17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" fld="0" subtotal="count" baseField="0" baseItem="0"/>
  </dataFields>
  <formats count="5">
    <format dxfId="11">
      <pivotArea field="11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11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grandRow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9CEBE-609F-4851-8B45-63A5107819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ay-week">
  <location ref="D11:E19" firstHeaderRow="1" firstDataRow="1" firstDataCol="1"/>
  <pivotFields count="17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axis="axisRow" showAll="0">
      <items count="8">
        <item x="6"/>
        <item x="1"/>
        <item x="5"/>
        <item x="3"/>
        <item x="2"/>
        <item x="0"/>
        <item x="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icket_id" fld="0" subtotal="count" baseField="0" baseItem="0"/>
  </dataFields>
  <formats count="3">
    <format dxfId="14">
      <pivotArea field="10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grandRow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DB3B9-E433-4183-80C2-638B23115E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iority">
  <location ref="K11:L16" firstHeaderRow="1" firstDataRow="1" firstDataCol="1"/>
  <pivotFields count="17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>
      <items count="8">
        <item x="3"/>
        <item x="6"/>
        <item x="2"/>
        <item x="4"/>
        <item x="0"/>
        <item x="5"/>
        <item x="1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olution time" fld="7" subtotal="average" baseField="0" baseItem="0"/>
  </dataFields>
  <formats count="3">
    <format dxfId="17">
      <pivotArea field="6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AB46A-90E7-47DF-A36B-1A51F9906094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iority">
  <location ref="O3:P8" firstHeaderRow="1" firstDataRow="1" firstDataCol="1"/>
  <pivotFields count="17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>
      <items count="8">
        <item x="3"/>
        <item x="6"/>
        <item x="2"/>
        <item x="4"/>
        <item x="0"/>
        <item x="5"/>
        <item x="1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_resolution" fld="14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66BDC-6EC0-45B1-9C67-17E362FFE9A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ay-week">
  <location ref="D3:E11" firstHeaderRow="1" firstDataRow="1" firstDataCol="1"/>
  <pivotFields count="17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axis="axisRow" showAll="0">
      <items count="8">
        <item x="6"/>
        <item x="1"/>
        <item x="5"/>
        <item x="3"/>
        <item x="2"/>
        <item x="0"/>
        <item x="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icket_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F26C8-7E4D-49A8-86BB-8D13847A5231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analyst">
  <location ref="AH4:AI15" firstHeaderRow="1" firstDataRow="1" firstDataCol="1"/>
  <pivotFields count="17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>
      <items count="8">
        <item x="3"/>
        <item x="6"/>
        <item x="2"/>
        <item x="4"/>
        <item x="0"/>
        <item x="5"/>
        <item x="1"/>
        <item t="default"/>
      </items>
    </pivotField>
    <pivotField axis="axisRow" showAll="0">
      <items count="11">
        <item x="7"/>
        <item x="6"/>
        <item x="5"/>
        <item x="3"/>
        <item x="4"/>
        <item x="9"/>
        <item x="8"/>
        <item x="2"/>
        <item x="1"/>
        <item x="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dataField="1"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Resolution time" fld="7" subtotal="average" baseField="0" baseItem="0"/>
  </dataFields>
  <chartFormats count="3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CAC59-8F9D-458C-9EF6-1DB1AFC9397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U11" firstHeaderRow="0" firstDataRow="1" firstDataCol="1"/>
  <pivotFields count="17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axis="axisRow" showAll="0">
      <items count="8">
        <item x="3"/>
        <item x="6"/>
        <item x="2"/>
        <item x="4"/>
        <item x="0"/>
        <item x="5"/>
        <item x="1"/>
        <item t="default"/>
      </items>
    </pivotField>
    <pivotField showAll="0"/>
    <pivotField showAll="0"/>
    <pivotField showAll="0"/>
    <pivotField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_id" fld="0" subtotal="count" baseField="0" baseItem="0"/>
    <dataField name="Sum of Average_resolution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22C94-7CD5-4D6D-92A0-D1928E99CF0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A3:B8" firstHeaderRow="1" firstDataRow="1" firstDataCol="1"/>
  <pivotFields count="17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" fld="0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60C5F-1F34-457F-9E64-CDD208D5E2F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ategory">
  <location ref="L3:M11" firstHeaderRow="1" firstDataRow="1" firstDataCol="1"/>
  <pivotFields count="17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axis="axisRow" showAll="0" sortType="ascending">
      <items count="8">
        <item x="3"/>
        <item x="6"/>
        <item x="2"/>
        <item x="4"/>
        <item x="0"/>
        <item x="5"/>
        <item x="1"/>
        <item t="default"/>
      </items>
    </pivotField>
    <pivotField showAll="0"/>
    <pivotField showAll="0"/>
    <pivotField showAll="0"/>
    <pivotField dataField="1"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solution time" fld="7" subtotal="average" baseField="0" baseItem="0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DC1AD-7108-4420-A551-2F955C813A5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Hour">
  <location ref="H3:I28" firstHeaderRow="1" firstDataRow="1" firstDataCol="1"/>
  <pivotFields count="17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>
      <items count="151">
        <item x="72"/>
        <item x="59"/>
        <item x="55"/>
        <item x="22"/>
        <item x="11"/>
        <item x="26"/>
        <item x="146"/>
        <item x="20"/>
        <item x="124"/>
        <item x="80"/>
        <item x="103"/>
        <item x="92"/>
        <item x="114"/>
        <item x="47"/>
        <item x="144"/>
        <item x="0"/>
        <item x="135"/>
        <item x="12"/>
        <item x="93"/>
        <item x="52"/>
        <item x="121"/>
        <item x="137"/>
        <item x="81"/>
        <item x="35"/>
        <item x="79"/>
        <item x="102"/>
        <item x="62"/>
        <item x="17"/>
        <item x="48"/>
        <item x="18"/>
        <item x="19"/>
        <item x="27"/>
        <item x="45"/>
        <item x="67"/>
        <item x="8"/>
        <item x="7"/>
        <item x="14"/>
        <item x="21"/>
        <item x="87"/>
        <item x="84"/>
        <item x="108"/>
        <item x="119"/>
        <item x="90"/>
        <item x="110"/>
        <item x="25"/>
        <item x="116"/>
        <item x="54"/>
        <item x="24"/>
        <item x="32"/>
        <item x="148"/>
        <item x="77"/>
        <item x="109"/>
        <item x="120"/>
        <item x="76"/>
        <item x="133"/>
        <item x="70"/>
        <item x="127"/>
        <item x="66"/>
        <item x="15"/>
        <item x="71"/>
        <item x="117"/>
        <item x="78"/>
        <item x="13"/>
        <item x="95"/>
        <item x="50"/>
        <item x="3"/>
        <item x="57"/>
        <item x="94"/>
        <item x="122"/>
        <item x="85"/>
        <item x="43"/>
        <item x="107"/>
        <item x="99"/>
        <item x="83"/>
        <item x="149"/>
        <item x="97"/>
        <item x="63"/>
        <item x="44"/>
        <item x="42"/>
        <item x="125"/>
        <item x="56"/>
        <item x="105"/>
        <item x="140"/>
        <item x="143"/>
        <item x="51"/>
        <item x="58"/>
        <item x="5"/>
        <item x="118"/>
        <item x="49"/>
        <item x="16"/>
        <item x="82"/>
        <item x="91"/>
        <item x="131"/>
        <item x="96"/>
        <item x="74"/>
        <item x="39"/>
        <item x="53"/>
        <item x="100"/>
        <item x="37"/>
        <item x="65"/>
        <item x="106"/>
        <item x="141"/>
        <item x="138"/>
        <item x="113"/>
        <item x="123"/>
        <item x="134"/>
        <item x="6"/>
        <item x="86"/>
        <item x="31"/>
        <item x="139"/>
        <item x="75"/>
        <item x="60"/>
        <item x="68"/>
        <item x="29"/>
        <item x="126"/>
        <item x="34"/>
        <item x="23"/>
        <item x="145"/>
        <item x="46"/>
        <item x="38"/>
        <item x="112"/>
        <item x="10"/>
        <item x="1"/>
        <item x="73"/>
        <item x="4"/>
        <item x="111"/>
        <item x="2"/>
        <item x="30"/>
        <item x="147"/>
        <item x="104"/>
        <item x="40"/>
        <item x="69"/>
        <item x="129"/>
        <item x="89"/>
        <item x="115"/>
        <item x="128"/>
        <item x="33"/>
        <item x="64"/>
        <item x="132"/>
        <item x="9"/>
        <item x="61"/>
        <item x="130"/>
        <item x="36"/>
        <item x="101"/>
        <item x="88"/>
        <item x="41"/>
        <item x="142"/>
        <item x="98"/>
        <item x="28"/>
        <item x="136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25">
        <item x="17"/>
        <item x="11"/>
        <item x="21"/>
        <item x="15"/>
        <item x="23"/>
        <item x="16"/>
        <item x="22"/>
        <item x="7"/>
        <item x="19"/>
        <item x="2"/>
        <item x="6"/>
        <item x="12"/>
        <item x="14"/>
        <item x="10"/>
        <item x="9"/>
        <item x="20"/>
        <item x="8"/>
        <item x="3"/>
        <item x="18"/>
        <item x="1"/>
        <item x="5"/>
        <item x="4"/>
        <item x="0"/>
        <item x="13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ticket_id" fld="0" subtotal="count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DF116-3C36-4D88-8E9F-947B1057874D}" name="Table1" displayName="Table1" ref="A1:M151" totalsRowShown="0">
  <autoFilter ref="A1:M151" xr:uid="{9E7DF116-3C36-4D88-8E9F-947B1057874D}"/>
  <tableColumns count="13">
    <tableColumn id="1" xr3:uid="{F4CF747E-4644-4746-B013-F5D565689B27}" name="ticket_id"/>
    <tableColumn id="2" xr3:uid="{4FE85A88-8258-495D-B90C-AFC81CA68649}" name="submission_date"/>
    <tableColumn id="3" xr3:uid="{F56C011D-95D6-4655-B773-BAB3023CB9DF}" name="resolution_date"/>
    <tableColumn id="4" xr3:uid="{09B63ACB-228D-4CD8-BD65-359C502F76AA}" name="category"/>
    <tableColumn id="5" xr3:uid="{AD110661-00A1-4DEF-883E-CA0A8CDA06BC}" name="assigned_analyst"/>
    <tableColumn id="6" xr3:uid="{F637EA38-1C04-4C39-B307-A5D5BE791AE2}" name="description"/>
    <tableColumn id="7" xr3:uid="{8401C798-F9A3-4C0C-AB00-C40DC73C1B48}" name="priority"/>
    <tableColumn id="8" xr3:uid="{EC165B07-3C87-4D9E-89DA-674B5121C6B4}" name="Resolution time" dataDxfId="2"/>
    <tableColumn id="9" xr3:uid="{28D6B8A2-C3A1-474D-8B72-48DE73445BF9}" name="Submission_date_short" dataDxfId="1"/>
    <tableColumn id="10" xr3:uid="{0047574C-6059-40BF-9C7D-F21210FA98D6}" name="Resolution_date_short" dataDxfId="0"/>
    <tableColumn id="11" xr3:uid="{80219128-D313-41E2-BF1B-FD2DB801957C}" name="Day _week"/>
    <tableColumn id="12" xr3:uid="{589A4DD6-493F-408E-A290-3E82F5689E2C}" name="Month"/>
    <tableColumn id="13" xr3:uid="{F86FEF55-BEF7-4EF9-B874-60F07BCD0D84}" name="H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0E60-1AC5-41B4-85FA-ADF99C7079C6}">
  <dimension ref="A1:L44"/>
  <sheetViews>
    <sheetView showGridLines="0" tabSelected="1" workbookViewId="0">
      <selection activeCell="M5" sqref="M5"/>
    </sheetView>
  </sheetViews>
  <sheetFormatPr defaultRowHeight="14.4" x14ac:dyDescent="0.3"/>
  <cols>
    <col min="1" max="1" width="10.77734375" bestFit="1" customWidth="1"/>
    <col min="2" max="2" width="16.109375" bestFit="1" customWidth="1"/>
    <col min="4" max="4" width="11.5546875" bestFit="1" customWidth="1"/>
    <col min="5" max="5" width="16.109375" bestFit="1" customWidth="1"/>
    <col min="8" max="8" width="24.6640625" customWidth="1"/>
    <col min="9" max="9" width="3.109375" customWidth="1"/>
    <col min="11" max="11" width="10.77734375" bestFit="1" customWidth="1"/>
    <col min="12" max="12" width="24" bestFit="1" customWidth="1"/>
    <col min="13" max="13" width="20.77734375" bestFit="1" customWidth="1"/>
  </cols>
  <sheetData>
    <row r="1" spans="1:12" ht="31.2" x14ac:dyDescent="0.6">
      <c r="A1" s="25" t="s">
        <v>712</v>
      </c>
      <c r="B1" s="22"/>
      <c r="C1" s="26"/>
      <c r="D1" s="26"/>
      <c r="E1" s="26"/>
      <c r="F1" s="26"/>
      <c r="G1" s="26"/>
      <c r="H1" s="26"/>
      <c r="I1" s="26"/>
      <c r="J1" s="26"/>
      <c r="K1" s="26"/>
      <c r="L1" s="22"/>
    </row>
    <row r="2" spans="1:12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9" spans="1:12" ht="18.600000000000001" x14ac:dyDescent="0.45">
      <c r="A9" s="18" t="s">
        <v>713</v>
      </c>
      <c r="B9" s="19"/>
      <c r="H9" s="20" t="s">
        <v>714</v>
      </c>
      <c r="I9" s="21"/>
      <c r="J9" s="17"/>
    </row>
    <row r="11" spans="1:12" x14ac:dyDescent="0.3">
      <c r="A11" s="22" t="s">
        <v>11</v>
      </c>
      <c r="B11" s="22" t="s">
        <v>648</v>
      </c>
      <c r="D11" s="22" t="s">
        <v>654</v>
      </c>
      <c r="E11" s="22" t="s">
        <v>648</v>
      </c>
      <c r="G11" s="22" t="s">
        <v>3</v>
      </c>
      <c r="H11" s="22" t="s">
        <v>684</v>
      </c>
      <c r="K11" s="22" t="s">
        <v>652</v>
      </c>
      <c r="L11" s="22" t="s">
        <v>684</v>
      </c>
    </row>
    <row r="12" spans="1:12" x14ac:dyDescent="0.3">
      <c r="A12" s="5" t="s">
        <v>21</v>
      </c>
      <c r="B12">
        <v>27</v>
      </c>
      <c r="D12" s="5" t="s">
        <v>134</v>
      </c>
      <c r="E12">
        <v>26</v>
      </c>
      <c r="G12" s="5" t="s">
        <v>59</v>
      </c>
      <c r="H12">
        <v>44.386833330933335</v>
      </c>
      <c r="K12" s="5" t="s">
        <v>220</v>
      </c>
      <c r="L12">
        <v>2.2081249999999999</v>
      </c>
    </row>
    <row r="13" spans="1:12" x14ac:dyDescent="0.3">
      <c r="A13" s="5" t="s">
        <v>43</v>
      </c>
      <c r="B13">
        <v>51</v>
      </c>
      <c r="D13" s="5" t="s">
        <v>29</v>
      </c>
      <c r="E13">
        <v>19</v>
      </c>
      <c r="G13" s="5" t="s">
        <v>154</v>
      </c>
      <c r="H13">
        <v>62.616180556416673</v>
      </c>
      <c r="K13" s="5" t="s">
        <v>19</v>
      </c>
      <c r="L13">
        <v>6.6783888885199998</v>
      </c>
    </row>
    <row r="14" spans="1:12" x14ac:dyDescent="0.3">
      <c r="A14" s="5" t="s">
        <v>55</v>
      </c>
      <c r="B14">
        <v>45</v>
      </c>
      <c r="D14" s="5" t="s">
        <v>87</v>
      </c>
      <c r="E14">
        <v>22</v>
      </c>
      <c r="G14" s="5" t="s">
        <v>40</v>
      </c>
      <c r="H14">
        <v>42.636678237875003</v>
      </c>
      <c r="K14" s="5" t="s">
        <v>54</v>
      </c>
      <c r="L14">
        <v>105.140962647069</v>
      </c>
    </row>
    <row r="15" spans="1:12" x14ac:dyDescent="0.3">
      <c r="A15" s="5" t="s">
        <v>30</v>
      </c>
      <c r="B15">
        <v>27</v>
      </c>
      <c r="D15" s="5" t="s">
        <v>49</v>
      </c>
      <c r="E15">
        <v>24</v>
      </c>
      <c r="G15" s="5" t="s">
        <v>84</v>
      </c>
      <c r="H15">
        <v>50.114444442173912</v>
      </c>
      <c r="K15" s="5" t="s">
        <v>28</v>
      </c>
      <c r="L15">
        <v>27.309925043857145</v>
      </c>
    </row>
    <row r="16" spans="1:12" x14ac:dyDescent="0.3">
      <c r="A16" s="23" t="s">
        <v>646</v>
      </c>
      <c r="B16" s="22">
        <v>150</v>
      </c>
      <c r="D16" s="5" t="s">
        <v>36</v>
      </c>
      <c r="E16">
        <v>23</v>
      </c>
      <c r="G16" s="5" t="s">
        <v>16</v>
      </c>
      <c r="H16">
        <v>51.542885805777772</v>
      </c>
      <c r="K16" s="23" t="s">
        <v>646</v>
      </c>
      <c r="L16" s="22">
        <v>53.29662222337334</v>
      </c>
    </row>
    <row r="17" spans="1:12" x14ac:dyDescent="0.3">
      <c r="D17" s="5" t="s">
        <v>20</v>
      </c>
      <c r="E17">
        <v>16</v>
      </c>
      <c r="G17" s="5" t="s">
        <v>112</v>
      </c>
      <c r="H17">
        <v>97.824166688428562</v>
      </c>
    </row>
    <row r="18" spans="1:12" x14ac:dyDescent="0.3">
      <c r="D18" s="5" t="s">
        <v>67</v>
      </c>
      <c r="E18">
        <v>20</v>
      </c>
      <c r="G18" s="5" t="s">
        <v>25</v>
      </c>
      <c r="H18">
        <v>54.683197169862723</v>
      </c>
    </row>
    <row r="19" spans="1:12" x14ac:dyDescent="0.3">
      <c r="D19" s="23" t="s">
        <v>646</v>
      </c>
      <c r="E19" s="22">
        <v>150</v>
      </c>
      <c r="G19" s="23" t="s">
        <v>646</v>
      </c>
      <c r="H19" s="22">
        <v>53.296622223373326</v>
      </c>
    </row>
    <row r="24" spans="1:12" ht="18" x14ac:dyDescent="0.35">
      <c r="A24" s="34" t="s">
        <v>715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2" ht="15.6" x14ac:dyDescent="0.3">
      <c r="A25" s="36" t="s">
        <v>716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.6" x14ac:dyDescent="0.3">
      <c r="A26" s="36" t="s">
        <v>717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1:12" ht="15.6" x14ac:dyDescent="0.3">
      <c r="A27" s="36" t="s">
        <v>718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 ht="15.6" x14ac:dyDescent="0.3">
      <c r="A28" s="36" t="s">
        <v>719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1:12" ht="15.6" x14ac:dyDescent="0.3">
      <c r="A29" s="36" t="s">
        <v>720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1" spans="1:12" ht="18" x14ac:dyDescent="0.35">
      <c r="A31" s="24" t="s">
        <v>721</v>
      </c>
    </row>
    <row r="32" spans="1:12" ht="18.600000000000001" x14ac:dyDescent="0.45">
      <c r="A32" s="27" t="s">
        <v>713</v>
      </c>
      <c r="B32" s="28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44" spans="1:12" ht="18.600000000000001" x14ac:dyDescent="0.45">
      <c r="A44" s="29" t="s">
        <v>714</v>
      </c>
      <c r="B44" s="30"/>
      <c r="C44" s="22"/>
      <c r="D44" s="22"/>
      <c r="E44" s="22"/>
      <c r="F44" s="22"/>
      <c r="G44" s="22"/>
      <c r="H44" s="22"/>
      <c r="I44" s="22"/>
      <c r="J44" s="22"/>
      <c r="K44" s="22"/>
      <c r="L44" s="22"/>
    </row>
  </sheetData>
  <mergeCells count="6">
    <mergeCell ref="A29:L29"/>
    <mergeCell ref="A24:L24"/>
    <mergeCell ref="A25:L25"/>
    <mergeCell ref="A26:L26"/>
    <mergeCell ref="A27:L27"/>
    <mergeCell ref="A28:L28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02D2-A91C-47A5-B869-58C7DAE86EE9}">
  <dimension ref="A1:V151"/>
  <sheetViews>
    <sheetView topLeftCell="L1" workbookViewId="0">
      <selection activeCell="U11" sqref="U11"/>
    </sheetView>
  </sheetViews>
  <sheetFormatPr defaultRowHeight="14.4" x14ac:dyDescent="0.3"/>
  <cols>
    <col min="1" max="1" width="10.109375" customWidth="1"/>
    <col min="2" max="2" width="17" customWidth="1"/>
    <col min="3" max="3" width="16.109375" customWidth="1"/>
    <col min="4" max="4" width="10.21875" customWidth="1"/>
    <col min="5" max="5" width="17.109375" customWidth="1"/>
    <col min="6" max="6" width="63.109375" customWidth="1"/>
    <col min="7" max="7" width="9" customWidth="1"/>
    <col min="8" max="8" width="16" customWidth="1"/>
    <col min="9" max="9" width="22.5546875" customWidth="1"/>
    <col min="10" max="10" width="21.88671875" customWidth="1"/>
    <col min="11" max="11" width="12" customWidth="1"/>
    <col min="21" max="21" width="35.77734375" customWidth="1"/>
    <col min="22" max="22" width="44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U1" s="15" t="s">
        <v>702</v>
      </c>
    </row>
    <row r="2" spans="1:22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5.1736111109999996</v>
      </c>
      <c r="I2" s="1">
        <v>45835.941666666666</v>
      </c>
      <c r="J2" s="1">
        <v>45836.156944444447</v>
      </c>
      <c r="K2" t="s">
        <v>20</v>
      </c>
      <c r="L2" t="s">
        <v>21</v>
      </c>
      <c r="M2">
        <v>22</v>
      </c>
      <c r="U2" s="13" t="s">
        <v>703</v>
      </c>
      <c r="V2" s="16" t="s">
        <v>708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35.835000000000001</v>
      </c>
      <c r="I3" s="1">
        <v>45901.810416666667</v>
      </c>
      <c r="J3" s="1">
        <v>45903.304166666669</v>
      </c>
      <c r="K3" t="s">
        <v>29</v>
      </c>
      <c r="L3" t="s">
        <v>30</v>
      </c>
      <c r="M3">
        <v>19</v>
      </c>
      <c r="U3" s="13" t="s">
        <v>704</v>
      </c>
      <c r="V3" s="16" t="s">
        <v>705</v>
      </c>
    </row>
    <row r="4" spans="1:22" x14ac:dyDescent="0.3">
      <c r="A4" t="s">
        <v>31</v>
      </c>
      <c r="B4" t="s">
        <v>32</v>
      </c>
      <c r="C4" t="s">
        <v>33</v>
      </c>
      <c r="D4" t="s">
        <v>16</v>
      </c>
      <c r="E4" t="s">
        <v>34</v>
      </c>
      <c r="F4" t="s">
        <v>35</v>
      </c>
      <c r="G4" t="s">
        <v>28</v>
      </c>
      <c r="H4">
        <v>38.30944444</v>
      </c>
      <c r="I4" s="1">
        <v>45904.397222222222</v>
      </c>
      <c r="J4" s="1">
        <v>45905.993055555555</v>
      </c>
      <c r="K4" t="s">
        <v>36</v>
      </c>
      <c r="L4" t="s">
        <v>30</v>
      </c>
      <c r="M4">
        <v>9</v>
      </c>
      <c r="U4" s="13" t="s">
        <v>11</v>
      </c>
      <c r="V4" s="16" t="s">
        <v>706</v>
      </c>
    </row>
    <row r="5" spans="1:22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19</v>
      </c>
      <c r="H5">
        <v>7.8461111109999999</v>
      </c>
      <c r="I5" s="1">
        <v>45866.740972222222</v>
      </c>
      <c r="J5" s="1">
        <v>45867.068055555559</v>
      </c>
      <c r="K5" t="s">
        <v>29</v>
      </c>
      <c r="L5" t="s">
        <v>43</v>
      </c>
      <c r="M5">
        <v>17</v>
      </c>
      <c r="U5" s="13" t="s">
        <v>12</v>
      </c>
      <c r="V5" s="16" t="s">
        <v>709</v>
      </c>
    </row>
    <row r="6" spans="1:22" x14ac:dyDescent="0.3">
      <c r="A6" t="s">
        <v>44</v>
      </c>
      <c r="B6" t="s">
        <v>45</v>
      </c>
      <c r="C6" t="s">
        <v>46</v>
      </c>
      <c r="D6" t="s">
        <v>25</v>
      </c>
      <c r="E6" t="s">
        <v>47</v>
      </c>
      <c r="F6" t="s">
        <v>48</v>
      </c>
      <c r="G6" t="s">
        <v>19</v>
      </c>
      <c r="H6">
        <v>9.1163888889999996</v>
      </c>
      <c r="I6" s="1">
        <v>45903.906944444447</v>
      </c>
      <c r="J6" s="1">
        <v>45904.286805555559</v>
      </c>
      <c r="K6" t="s">
        <v>49</v>
      </c>
      <c r="L6" t="s">
        <v>30</v>
      </c>
      <c r="M6">
        <v>21</v>
      </c>
      <c r="U6" s="13"/>
      <c r="V6" s="16"/>
    </row>
    <row r="7" spans="1:22" ht="28.8" x14ac:dyDescent="0.3">
      <c r="A7" t="s">
        <v>50</v>
      </c>
      <c r="B7" t="s">
        <v>51</v>
      </c>
      <c r="C7" t="s">
        <v>52</v>
      </c>
      <c r="D7" t="s">
        <v>25</v>
      </c>
      <c r="E7" t="s">
        <v>34</v>
      </c>
      <c r="F7" t="s">
        <v>53</v>
      </c>
      <c r="G7" t="s">
        <v>54</v>
      </c>
      <c r="H7">
        <v>133.33361110000001</v>
      </c>
      <c r="I7" s="1">
        <v>45873.855555555558</v>
      </c>
      <c r="J7" s="1">
        <v>45879.411111111112</v>
      </c>
      <c r="K7" t="s">
        <v>29</v>
      </c>
      <c r="L7" t="s">
        <v>55</v>
      </c>
      <c r="M7">
        <v>20</v>
      </c>
      <c r="U7" s="13" t="s">
        <v>674</v>
      </c>
      <c r="V7" s="16" t="s">
        <v>707</v>
      </c>
    </row>
    <row r="8" spans="1:22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54</v>
      </c>
      <c r="H8">
        <v>27.55944444</v>
      </c>
      <c r="I8" s="1">
        <v>45891.443055555559</v>
      </c>
      <c r="J8" s="1">
        <v>45892.59097222222</v>
      </c>
      <c r="K8" t="s">
        <v>20</v>
      </c>
      <c r="L8" t="s">
        <v>55</v>
      </c>
      <c r="M8">
        <v>10</v>
      </c>
    </row>
    <row r="9" spans="1:22" x14ac:dyDescent="0.3">
      <c r="A9" t="s">
        <v>62</v>
      </c>
      <c r="B9" t="s">
        <v>63</v>
      </c>
      <c r="C9" t="s">
        <v>64</v>
      </c>
      <c r="D9" t="s">
        <v>25</v>
      </c>
      <c r="E9" t="s">
        <v>65</v>
      </c>
      <c r="F9" t="s">
        <v>66</v>
      </c>
      <c r="G9" t="s">
        <v>54</v>
      </c>
      <c r="H9">
        <v>108.7144444</v>
      </c>
      <c r="I9" s="1">
        <v>45843.321527777778</v>
      </c>
      <c r="J9" s="1">
        <v>45847.851388888892</v>
      </c>
      <c r="K9" t="s">
        <v>67</v>
      </c>
      <c r="L9" t="s">
        <v>43</v>
      </c>
      <c r="M9">
        <v>7</v>
      </c>
    </row>
    <row r="10" spans="1:22" x14ac:dyDescent="0.3">
      <c r="A10" t="s">
        <v>68</v>
      </c>
      <c r="B10" t="s">
        <v>69</v>
      </c>
      <c r="C10" t="s">
        <v>70</v>
      </c>
      <c r="D10" t="s">
        <v>40</v>
      </c>
      <c r="E10" t="s">
        <v>65</v>
      </c>
      <c r="F10" t="s">
        <v>71</v>
      </c>
      <c r="G10" t="s">
        <v>28</v>
      </c>
      <c r="H10">
        <v>17.387499999999999</v>
      </c>
      <c r="I10" s="1">
        <v>45845.695138888892</v>
      </c>
      <c r="J10" s="1">
        <v>45846.419444444444</v>
      </c>
      <c r="K10" t="s">
        <v>29</v>
      </c>
      <c r="L10" t="s">
        <v>43</v>
      </c>
      <c r="M10">
        <v>16</v>
      </c>
    </row>
    <row r="11" spans="1:22" x14ac:dyDescent="0.3">
      <c r="A11" t="s">
        <v>72</v>
      </c>
      <c r="B11" t="s">
        <v>73</v>
      </c>
      <c r="C11" t="s">
        <v>74</v>
      </c>
      <c r="D11" t="s">
        <v>25</v>
      </c>
      <c r="E11" t="s">
        <v>34</v>
      </c>
      <c r="F11" t="s">
        <v>75</v>
      </c>
      <c r="G11" t="s">
        <v>28</v>
      </c>
      <c r="H11">
        <v>29.15138889</v>
      </c>
      <c r="I11" s="1">
        <v>45910.617361111108</v>
      </c>
      <c r="J11" s="1">
        <v>45911.831944444442</v>
      </c>
      <c r="K11" t="s">
        <v>49</v>
      </c>
      <c r="L11" t="s">
        <v>30</v>
      </c>
      <c r="M11">
        <v>14</v>
      </c>
      <c r="U11" t="s">
        <v>710</v>
      </c>
      <c r="V11">
        <f>COUNTA(A2:A151)</f>
        <v>150</v>
      </c>
    </row>
    <row r="12" spans="1:22" x14ac:dyDescent="0.3">
      <c r="A12" t="s">
        <v>76</v>
      </c>
      <c r="B12" t="s">
        <v>77</v>
      </c>
      <c r="C12" t="s">
        <v>78</v>
      </c>
      <c r="D12" t="s">
        <v>25</v>
      </c>
      <c r="E12" t="s">
        <v>79</v>
      </c>
      <c r="F12" t="s">
        <v>80</v>
      </c>
      <c r="G12" t="s">
        <v>54</v>
      </c>
      <c r="H12">
        <v>147.1416667</v>
      </c>
      <c r="I12" s="1">
        <v>45896.555555555555</v>
      </c>
      <c r="J12" s="1">
        <v>45902.686111111114</v>
      </c>
      <c r="K12" t="s">
        <v>49</v>
      </c>
      <c r="L12" t="s">
        <v>55</v>
      </c>
      <c r="M12">
        <v>13</v>
      </c>
      <c r="U12" t="s">
        <v>711</v>
      </c>
      <c r="V12">
        <f>COUNTBLANK(Table1[])</f>
        <v>0</v>
      </c>
    </row>
    <row r="13" spans="1:22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19</v>
      </c>
      <c r="H13">
        <v>3.8372222219999998</v>
      </c>
      <c r="I13" s="1">
        <v>45832.080555555556</v>
      </c>
      <c r="J13" s="1">
        <v>45832.240277777775</v>
      </c>
      <c r="K13" t="s">
        <v>87</v>
      </c>
      <c r="L13" t="s">
        <v>21</v>
      </c>
      <c r="M13">
        <v>1</v>
      </c>
    </row>
    <row r="14" spans="1:22" x14ac:dyDescent="0.3">
      <c r="A14" t="s">
        <v>88</v>
      </c>
      <c r="B14" t="s">
        <v>89</v>
      </c>
      <c r="C14" t="s">
        <v>90</v>
      </c>
      <c r="D14" t="s">
        <v>84</v>
      </c>
      <c r="E14" t="s">
        <v>17</v>
      </c>
      <c r="F14" t="s">
        <v>91</v>
      </c>
      <c r="G14" t="s">
        <v>28</v>
      </c>
      <c r="H14">
        <v>17.114999999999998</v>
      </c>
      <c r="I14" s="1">
        <v>45836.410416666666</v>
      </c>
      <c r="J14" s="1">
        <v>45837.123611111114</v>
      </c>
      <c r="K14" t="s">
        <v>67</v>
      </c>
      <c r="L14" t="s">
        <v>21</v>
      </c>
      <c r="M14">
        <v>9</v>
      </c>
    </row>
    <row r="15" spans="1:22" x14ac:dyDescent="0.3">
      <c r="A15" t="s">
        <v>92</v>
      </c>
      <c r="B15" t="s">
        <v>93</v>
      </c>
      <c r="C15" t="s">
        <v>94</v>
      </c>
      <c r="D15" t="s">
        <v>25</v>
      </c>
      <c r="E15" t="s">
        <v>65</v>
      </c>
      <c r="F15" t="s">
        <v>95</v>
      </c>
      <c r="G15" t="s">
        <v>54</v>
      </c>
      <c r="H15">
        <v>102.7638889</v>
      </c>
      <c r="I15" s="1">
        <v>45860.380555555559</v>
      </c>
      <c r="J15" s="1">
        <v>45864.662499999999</v>
      </c>
      <c r="K15" t="s">
        <v>87</v>
      </c>
      <c r="L15" t="s">
        <v>43</v>
      </c>
      <c r="M15">
        <v>9</v>
      </c>
    </row>
    <row r="16" spans="1:22" x14ac:dyDescent="0.3">
      <c r="A16" t="s">
        <v>96</v>
      </c>
      <c r="B16" t="s">
        <v>97</v>
      </c>
      <c r="C16" t="s">
        <v>98</v>
      </c>
      <c r="D16" t="s">
        <v>25</v>
      </c>
      <c r="E16" t="s">
        <v>26</v>
      </c>
      <c r="F16" t="s">
        <v>99</v>
      </c>
      <c r="G16" t="s">
        <v>19</v>
      </c>
      <c r="H16">
        <v>2.6425000000000001</v>
      </c>
      <c r="I16" s="1">
        <v>45847.938888888886</v>
      </c>
      <c r="J16" s="1">
        <v>45848.049305555556</v>
      </c>
      <c r="K16" t="s">
        <v>49</v>
      </c>
      <c r="L16" t="s">
        <v>43</v>
      </c>
      <c r="M16">
        <v>22</v>
      </c>
    </row>
    <row r="17" spans="1:13" x14ac:dyDescent="0.3">
      <c r="A17" t="s">
        <v>100</v>
      </c>
      <c r="B17" t="s">
        <v>101</v>
      </c>
      <c r="C17" t="s">
        <v>102</v>
      </c>
      <c r="D17" t="s">
        <v>25</v>
      </c>
      <c r="E17" t="s">
        <v>103</v>
      </c>
      <c r="F17" t="s">
        <v>104</v>
      </c>
      <c r="G17" t="s">
        <v>19</v>
      </c>
      <c r="H17">
        <v>2.764166667</v>
      </c>
      <c r="I17" s="1">
        <v>45861.94027777778</v>
      </c>
      <c r="J17" s="1">
        <v>45862.055555555555</v>
      </c>
      <c r="K17" t="s">
        <v>49</v>
      </c>
      <c r="L17" t="s">
        <v>43</v>
      </c>
      <c r="M17">
        <v>22</v>
      </c>
    </row>
    <row r="18" spans="1:13" x14ac:dyDescent="0.3">
      <c r="A18" t="s">
        <v>105</v>
      </c>
      <c r="B18" t="s">
        <v>106</v>
      </c>
      <c r="C18" t="s">
        <v>107</v>
      </c>
      <c r="D18" t="s">
        <v>25</v>
      </c>
      <c r="E18" t="s">
        <v>65</v>
      </c>
      <c r="F18" t="s">
        <v>108</v>
      </c>
      <c r="G18" t="s">
        <v>54</v>
      </c>
      <c r="H18">
        <v>116.4463889</v>
      </c>
      <c r="I18" s="1">
        <v>45875.494444444441</v>
      </c>
      <c r="J18" s="1">
        <v>45880.345833333333</v>
      </c>
      <c r="K18" t="s">
        <v>49</v>
      </c>
      <c r="L18" t="s">
        <v>55</v>
      </c>
      <c r="M18">
        <v>11</v>
      </c>
    </row>
    <row r="19" spans="1:13" x14ac:dyDescent="0.3">
      <c r="A19" t="s">
        <v>109</v>
      </c>
      <c r="B19" t="s">
        <v>110</v>
      </c>
      <c r="C19" t="s">
        <v>111</v>
      </c>
      <c r="D19" t="s">
        <v>112</v>
      </c>
      <c r="E19" t="s">
        <v>17</v>
      </c>
      <c r="F19" t="s">
        <v>113</v>
      </c>
      <c r="G19" t="s">
        <v>54</v>
      </c>
      <c r="H19">
        <v>51.918055559999999</v>
      </c>
      <c r="I19" s="1">
        <v>45838.695833333331</v>
      </c>
      <c r="J19" s="1">
        <v>45840.859027777777</v>
      </c>
      <c r="K19" t="s">
        <v>29</v>
      </c>
      <c r="L19" t="s">
        <v>21</v>
      </c>
      <c r="M19">
        <v>16</v>
      </c>
    </row>
    <row r="20" spans="1:13" x14ac:dyDescent="0.3">
      <c r="A20" t="s">
        <v>114</v>
      </c>
      <c r="B20" t="s">
        <v>115</v>
      </c>
      <c r="C20" t="s">
        <v>116</v>
      </c>
      <c r="D20" t="s">
        <v>84</v>
      </c>
      <c r="E20" t="s">
        <v>41</v>
      </c>
      <c r="F20" t="s">
        <v>117</v>
      </c>
      <c r="G20" t="s">
        <v>54</v>
      </c>
      <c r="H20">
        <v>84.755833330000002</v>
      </c>
      <c r="I20" s="1">
        <v>45838.960416666669</v>
      </c>
      <c r="J20" s="1">
        <v>45842.491666666669</v>
      </c>
      <c r="K20" t="s">
        <v>29</v>
      </c>
      <c r="L20" t="s">
        <v>21</v>
      </c>
      <c r="M20">
        <v>23</v>
      </c>
    </row>
    <row r="21" spans="1:13" x14ac:dyDescent="0.3">
      <c r="A21" t="s">
        <v>118</v>
      </c>
      <c r="B21" t="s">
        <v>119</v>
      </c>
      <c r="C21" t="s">
        <v>120</v>
      </c>
      <c r="D21" t="s">
        <v>40</v>
      </c>
      <c r="E21" t="s">
        <v>41</v>
      </c>
      <c r="F21" t="s">
        <v>121</v>
      </c>
      <c r="G21" t="s">
        <v>28</v>
      </c>
      <c r="H21">
        <v>40.523055560000003</v>
      </c>
      <c r="I21" s="1">
        <v>45841.310416666667</v>
      </c>
      <c r="J21" s="1">
        <v>45842.998611111114</v>
      </c>
      <c r="K21" t="s">
        <v>36</v>
      </c>
      <c r="L21" t="s">
        <v>43</v>
      </c>
      <c r="M21">
        <v>7</v>
      </c>
    </row>
    <row r="22" spans="1:13" x14ac:dyDescent="0.3">
      <c r="A22" t="s">
        <v>122</v>
      </c>
      <c r="B22" t="s">
        <v>123</v>
      </c>
      <c r="C22" t="s">
        <v>124</v>
      </c>
      <c r="D22" t="s">
        <v>25</v>
      </c>
      <c r="E22" t="s">
        <v>26</v>
      </c>
      <c r="F22" t="s">
        <v>125</v>
      </c>
      <c r="G22" t="s">
        <v>28</v>
      </c>
      <c r="H22">
        <v>36.284166669999998</v>
      </c>
      <c r="I22" s="1">
        <v>45831.950694444444</v>
      </c>
      <c r="J22" s="1">
        <v>45833.462500000001</v>
      </c>
      <c r="K22" t="s">
        <v>29</v>
      </c>
      <c r="L22" t="s">
        <v>21</v>
      </c>
      <c r="M22">
        <v>22</v>
      </c>
    </row>
    <row r="23" spans="1:13" x14ac:dyDescent="0.3">
      <c r="A23" t="s">
        <v>126</v>
      </c>
      <c r="B23" t="s">
        <v>127</v>
      </c>
      <c r="C23" t="s">
        <v>128</v>
      </c>
      <c r="D23" t="s">
        <v>25</v>
      </c>
      <c r="E23" t="s">
        <v>17</v>
      </c>
      <c r="F23" t="s">
        <v>129</v>
      </c>
      <c r="G23" t="s">
        <v>28</v>
      </c>
      <c r="H23">
        <v>45.837777780000003</v>
      </c>
      <c r="I23" s="1">
        <v>45846.481944444444</v>
      </c>
      <c r="J23" s="1">
        <v>45848.392361111109</v>
      </c>
      <c r="K23" t="s">
        <v>87</v>
      </c>
      <c r="L23" t="s">
        <v>43</v>
      </c>
      <c r="M23">
        <v>11</v>
      </c>
    </row>
    <row r="24" spans="1:13" x14ac:dyDescent="0.3">
      <c r="A24" t="s">
        <v>130</v>
      </c>
      <c r="B24" t="s">
        <v>131</v>
      </c>
      <c r="C24" t="s">
        <v>132</v>
      </c>
      <c r="D24" t="s">
        <v>25</v>
      </c>
      <c r="E24" t="s">
        <v>79</v>
      </c>
      <c r="F24" t="s">
        <v>133</v>
      </c>
      <c r="G24" t="s">
        <v>28</v>
      </c>
      <c r="H24">
        <v>17.074722220000002</v>
      </c>
      <c r="I24" s="1">
        <v>45830.978472222225</v>
      </c>
      <c r="J24" s="1">
        <v>45831.69027777778</v>
      </c>
      <c r="K24" t="s">
        <v>134</v>
      </c>
      <c r="L24" t="s">
        <v>21</v>
      </c>
      <c r="M24">
        <v>23</v>
      </c>
    </row>
    <row r="25" spans="1:13" x14ac:dyDescent="0.3">
      <c r="A25" t="s">
        <v>135</v>
      </c>
      <c r="B25" t="s">
        <v>136</v>
      </c>
      <c r="C25" t="s">
        <v>137</v>
      </c>
      <c r="D25" t="s">
        <v>25</v>
      </c>
      <c r="E25" t="s">
        <v>47</v>
      </c>
      <c r="F25" t="s">
        <v>138</v>
      </c>
      <c r="G25" t="s">
        <v>28</v>
      </c>
      <c r="H25">
        <v>39.931111110000003</v>
      </c>
      <c r="I25" s="1">
        <v>45898.518750000003</v>
      </c>
      <c r="J25" s="1">
        <v>45900.182638888888</v>
      </c>
      <c r="K25" t="s">
        <v>20</v>
      </c>
      <c r="L25" t="s">
        <v>55</v>
      </c>
      <c r="M25">
        <v>12</v>
      </c>
    </row>
    <row r="26" spans="1:13" x14ac:dyDescent="0.3">
      <c r="A26" t="s">
        <v>139</v>
      </c>
      <c r="B26" t="s">
        <v>140</v>
      </c>
      <c r="C26" t="s">
        <v>141</v>
      </c>
      <c r="D26" t="s">
        <v>84</v>
      </c>
      <c r="E26" t="s">
        <v>41</v>
      </c>
      <c r="F26" t="s">
        <v>142</v>
      </c>
      <c r="G26" t="s">
        <v>54</v>
      </c>
      <c r="H26">
        <v>102.0827778</v>
      </c>
      <c r="I26" s="1">
        <v>45850.150694444441</v>
      </c>
      <c r="J26" s="1">
        <v>45854.404166666667</v>
      </c>
      <c r="K26" t="s">
        <v>67</v>
      </c>
      <c r="L26" t="s">
        <v>43</v>
      </c>
      <c r="M26">
        <v>3</v>
      </c>
    </row>
    <row r="27" spans="1:13" x14ac:dyDescent="0.3">
      <c r="A27" t="s">
        <v>143</v>
      </c>
      <c r="B27" t="s">
        <v>144</v>
      </c>
      <c r="C27" t="s">
        <v>145</v>
      </c>
      <c r="D27" t="s">
        <v>25</v>
      </c>
      <c r="E27" t="s">
        <v>26</v>
      </c>
      <c r="F27" t="s">
        <v>146</v>
      </c>
      <c r="G27" t="s">
        <v>28</v>
      </c>
      <c r="H27">
        <v>37.885833329999997</v>
      </c>
      <c r="I27" s="1">
        <v>45851.237500000003</v>
      </c>
      <c r="J27" s="1">
        <v>45852.815972222219</v>
      </c>
      <c r="K27" t="s">
        <v>134</v>
      </c>
      <c r="L27" t="s">
        <v>43</v>
      </c>
      <c r="M27">
        <v>5</v>
      </c>
    </row>
    <row r="28" spans="1:13" x14ac:dyDescent="0.3">
      <c r="A28" t="s">
        <v>147</v>
      </c>
      <c r="B28" t="s">
        <v>148</v>
      </c>
      <c r="C28" t="s">
        <v>149</v>
      </c>
      <c r="D28" t="s">
        <v>84</v>
      </c>
      <c r="E28" t="s">
        <v>47</v>
      </c>
      <c r="F28" t="s">
        <v>150</v>
      </c>
      <c r="G28" t="s">
        <v>19</v>
      </c>
      <c r="H28">
        <v>11.8</v>
      </c>
      <c r="I28" s="1">
        <v>45832.018055555556</v>
      </c>
      <c r="J28" s="1">
        <v>45832.509722222225</v>
      </c>
      <c r="K28" t="s">
        <v>87</v>
      </c>
      <c r="L28" t="s">
        <v>21</v>
      </c>
      <c r="M28">
        <v>0</v>
      </c>
    </row>
    <row r="29" spans="1:13" x14ac:dyDescent="0.3">
      <c r="A29" t="s">
        <v>151</v>
      </c>
      <c r="B29" t="s">
        <v>152</v>
      </c>
      <c r="C29" t="s">
        <v>153</v>
      </c>
      <c r="D29" t="s">
        <v>154</v>
      </c>
      <c r="E29" t="s">
        <v>26</v>
      </c>
      <c r="F29" t="s">
        <v>155</v>
      </c>
      <c r="G29" t="s">
        <v>28</v>
      </c>
      <c r="H29">
        <v>45.768888889999999</v>
      </c>
      <c r="I29" s="1">
        <v>45841.811805555553</v>
      </c>
      <c r="J29" s="1">
        <v>45843.71875</v>
      </c>
      <c r="K29" t="s">
        <v>36</v>
      </c>
      <c r="L29" t="s">
        <v>43</v>
      </c>
      <c r="M29">
        <v>19</v>
      </c>
    </row>
    <row r="30" spans="1:13" x14ac:dyDescent="0.3">
      <c r="A30" t="s">
        <v>156</v>
      </c>
      <c r="B30" t="s">
        <v>157</v>
      </c>
      <c r="C30" t="s">
        <v>158</v>
      </c>
      <c r="D30" t="s">
        <v>16</v>
      </c>
      <c r="E30" t="s">
        <v>17</v>
      </c>
      <c r="F30" t="s">
        <v>159</v>
      </c>
      <c r="G30" t="s">
        <v>54</v>
      </c>
      <c r="H30">
        <v>42.905555560000003</v>
      </c>
      <c r="I30" s="1">
        <v>45915.543055555558</v>
      </c>
      <c r="J30" s="1">
        <v>45917.331250000003</v>
      </c>
      <c r="K30" t="s">
        <v>29</v>
      </c>
      <c r="L30" t="s">
        <v>30</v>
      </c>
      <c r="M30">
        <v>13</v>
      </c>
    </row>
    <row r="31" spans="1:13" x14ac:dyDescent="0.3">
      <c r="A31" t="s">
        <v>160</v>
      </c>
      <c r="B31" t="s">
        <v>161</v>
      </c>
      <c r="C31" t="s">
        <v>162</v>
      </c>
      <c r="D31" t="s">
        <v>25</v>
      </c>
      <c r="E31" t="s">
        <v>34</v>
      </c>
      <c r="F31" t="s">
        <v>163</v>
      </c>
      <c r="G31" t="s">
        <v>28</v>
      </c>
      <c r="H31">
        <v>32.695277779999998</v>
      </c>
      <c r="I31" s="1">
        <v>45896.914583333331</v>
      </c>
      <c r="J31" s="1">
        <v>45898.276388888888</v>
      </c>
      <c r="K31" t="s">
        <v>49</v>
      </c>
      <c r="L31" t="s">
        <v>55</v>
      </c>
      <c r="M31">
        <v>21</v>
      </c>
    </row>
    <row r="32" spans="1:13" x14ac:dyDescent="0.3">
      <c r="A32" t="s">
        <v>164</v>
      </c>
      <c r="B32" t="s">
        <v>165</v>
      </c>
      <c r="C32" t="s">
        <v>166</v>
      </c>
      <c r="D32" t="s">
        <v>84</v>
      </c>
      <c r="E32" t="s">
        <v>34</v>
      </c>
      <c r="F32" t="s">
        <v>167</v>
      </c>
      <c r="G32" t="s">
        <v>54</v>
      </c>
      <c r="H32">
        <v>150.35194440000001</v>
      </c>
      <c r="I32" s="1">
        <v>45899.845138888886</v>
      </c>
      <c r="J32" s="1">
        <v>45906.109722222223</v>
      </c>
      <c r="K32" t="s">
        <v>67</v>
      </c>
      <c r="L32" t="s">
        <v>55</v>
      </c>
      <c r="M32">
        <v>20</v>
      </c>
    </row>
    <row r="33" spans="1:13" x14ac:dyDescent="0.3">
      <c r="A33" t="s">
        <v>168</v>
      </c>
      <c r="B33" t="s">
        <v>169</v>
      </c>
      <c r="C33" t="s">
        <v>170</v>
      </c>
      <c r="D33" t="s">
        <v>25</v>
      </c>
      <c r="E33" t="s">
        <v>26</v>
      </c>
      <c r="F33" t="s">
        <v>171</v>
      </c>
      <c r="G33" t="s">
        <v>19</v>
      </c>
      <c r="H33">
        <v>7.6061111109999997</v>
      </c>
      <c r="I33" s="1">
        <v>45893.998611111114</v>
      </c>
      <c r="J33" s="1">
        <v>45894.315972222219</v>
      </c>
      <c r="K33" t="s">
        <v>134</v>
      </c>
      <c r="L33" t="s">
        <v>55</v>
      </c>
      <c r="M33">
        <v>23</v>
      </c>
    </row>
    <row r="34" spans="1:13" x14ac:dyDescent="0.3">
      <c r="A34" t="s">
        <v>172</v>
      </c>
      <c r="B34" t="s">
        <v>173</v>
      </c>
      <c r="C34" t="s">
        <v>174</v>
      </c>
      <c r="D34" t="s">
        <v>84</v>
      </c>
      <c r="E34" t="s">
        <v>65</v>
      </c>
      <c r="F34" t="s">
        <v>175</v>
      </c>
      <c r="G34" t="s">
        <v>54</v>
      </c>
      <c r="H34">
        <v>132.49972220000001</v>
      </c>
      <c r="I34" s="1">
        <v>45849.756944444445</v>
      </c>
      <c r="J34" s="1">
        <v>45855.277777777781</v>
      </c>
      <c r="K34" t="s">
        <v>20</v>
      </c>
      <c r="L34" t="s">
        <v>43</v>
      </c>
      <c r="M34">
        <v>18</v>
      </c>
    </row>
    <row r="35" spans="1:13" x14ac:dyDescent="0.3">
      <c r="A35" t="s">
        <v>176</v>
      </c>
      <c r="B35" t="s">
        <v>177</v>
      </c>
      <c r="C35" t="s">
        <v>178</v>
      </c>
      <c r="D35" t="s">
        <v>154</v>
      </c>
      <c r="E35" t="s">
        <v>60</v>
      </c>
      <c r="F35" t="s">
        <v>179</v>
      </c>
      <c r="G35" t="s">
        <v>54</v>
      </c>
      <c r="H35">
        <v>129.9291667</v>
      </c>
      <c r="I35" s="1">
        <v>45904.814583333333</v>
      </c>
      <c r="J35" s="1">
        <v>45910.227777777778</v>
      </c>
      <c r="K35" t="s">
        <v>36</v>
      </c>
      <c r="L35" t="s">
        <v>30</v>
      </c>
      <c r="M35">
        <v>19</v>
      </c>
    </row>
    <row r="36" spans="1:13" x14ac:dyDescent="0.3">
      <c r="A36" t="s">
        <v>180</v>
      </c>
      <c r="B36" t="s">
        <v>181</v>
      </c>
      <c r="C36" t="s">
        <v>182</v>
      </c>
      <c r="D36" t="s">
        <v>25</v>
      </c>
      <c r="E36" t="s">
        <v>47</v>
      </c>
      <c r="F36" t="s">
        <v>183</v>
      </c>
      <c r="G36" t="s">
        <v>54</v>
      </c>
      <c r="H36">
        <v>146.62</v>
      </c>
      <c r="I36" s="1">
        <v>45893.712500000001</v>
      </c>
      <c r="J36" s="1">
        <v>45899.821527777778</v>
      </c>
      <c r="K36" t="s">
        <v>134</v>
      </c>
      <c r="L36" t="s">
        <v>55</v>
      </c>
      <c r="M36">
        <v>17</v>
      </c>
    </row>
    <row r="37" spans="1:13" x14ac:dyDescent="0.3">
      <c r="A37" t="s">
        <v>184</v>
      </c>
      <c r="B37" t="s">
        <v>185</v>
      </c>
      <c r="C37" t="s">
        <v>186</v>
      </c>
      <c r="D37" t="s">
        <v>40</v>
      </c>
      <c r="E37" t="s">
        <v>26</v>
      </c>
      <c r="F37" t="s">
        <v>187</v>
      </c>
      <c r="G37" t="s">
        <v>54</v>
      </c>
      <c r="H37">
        <v>25.8125</v>
      </c>
      <c r="I37" s="1">
        <v>45838.741666666669</v>
      </c>
      <c r="J37" s="1">
        <v>45839.816666666666</v>
      </c>
      <c r="K37" t="s">
        <v>29</v>
      </c>
      <c r="L37" t="s">
        <v>21</v>
      </c>
      <c r="M37">
        <v>17</v>
      </c>
    </row>
    <row r="38" spans="1:13" x14ac:dyDescent="0.3">
      <c r="A38" t="s">
        <v>188</v>
      </c>
      <c r="B38" t="s">
        <v>189</v>
      </c>
      <c r="C38" t="s">
        <v>190</v>
      </c>
      <c r="D38" t="s">
        <v>25</v>
      </c>
      <c r="E38" t="s">
        <v>85</v>
      </c>
      <c r="F38" t="s">
        <v>191</v>
      </c>
      <c r="G38" t="s">
        <v>54</v>
      </c>
      <c r="H38">
        <v>93.54</v>
      </c>
      <c r="I38" s="1">
        <v>45909.365277777775</v>
      </c>
      <c r="J38" s="1">
        <v>45913.262499999997</v>
      </c>
      <c r="K38" t="s">
        <v>87</v>
      </c>
      <c r="L38" t="s">
        <v>30</v>
      </c>
      <c r="M38">
        <v>8</v>
      </c>
    </row>
    <row r="39" spans="1:13" x14ac:dyDescent="0.3">
      <c r="A39" t="s">
        <v>192</v>
      </c>
      <c r="B39" t="s">
        <v>193</v>
      </c>
      <c r="C39" t="s">
        <v>194</v>
      </c>
      <c r="D39" t="s">
        <v>16</v>
      </c>
      <c r="E39" t="s">
        <v>79</v>
      </c>
      <c r="F39" t="s">
        <v>195</v>
      </c>
      <c r="G39" t="s">
        <v>54</v>
      </c>
      <c r="H39">
        <v>149.1788889</v>
      </c>
      <c r="I39" s="1">
        <v>45880.455555555556</v>
      </c>
      <c r="J39" s="1">
        <v>45886.671527777777</v>
      </c>
      <c r="K39" t="s">
        <v>29</v>
      </c>
      <c r="L39" t="s">
        <v>55</v>
      </c>
      <c r="M39">
        <v>10</v>
      </c>
    </row>
    <row r="40" spans="1:13" x14ac:dyDescent="0.3">
      <c r="A40" t="s">
        <v>196</v>
      </c>
      <c r="B40" t="s">
        <v>197</v>
      </c>
      <c r="C40" t="s">
        <v>198</v>
      </c>
      <c r="D40" t="s">
        <v>25</v>
      </c>
      <c r="E40" t="s">
        <v>60</v>
      </c>
      <c r="F40" t="s">
        <v>199</v>
      </c>
      <c r="G40" t="s">
        <v>28</v>
      </c>
      <c r="H40">
        <v>10.381111110000001</v>
      </c>
      <c r="I40" s="1">
        <v>45901.680555555555</v>
      </c>
      <c r="J40" s="1">
        <v>45902.113194444442</v>
      </c>
      <c r="K40" t="s">
        <v>29</v>
      </c>
      <c r="L40" t="s">
        <v>30</v>
      </c>
      <c r="M40">
        <v>16</v>
      </c>
    </row>
    <row r="41" spans="1:13" x14ac:dyDescent="0.3">
      <c r="A41" t="s">
        <v>200</v>
      </c>
      <c r="B41" t="s">
        <v>201</v>
      </c>
      <c r="C41" t="s">
        <v>202</v>
      </c>
      <c r="D41" t="s">
        <v>59</v>
      </c>
      <c r="E41" t="s">
        <v>65</v>
      </c>
      <c r="F41" t="s">
        <v>203</v>
      </c>
      <c r="G41" t="s">
        <v>28</v>
      </c>
      <c r="H41">
        <v>12.236388890000001</v>
      </c>
      <c r="I41" s="1">
        <v>45883.854166666664</v>
      </c>
      <c r="J41" s="1">
        <v>45884.363888888889</v>
      </c>
      <c r="K41" t="s">
        <v>36</v>
      </c>
      <c r="L41" t="s">
        <v>55</v>
      </c>
      <c r="M41">
        <v>20</v>
      </c>
    </row>
    <row r="42" spans="1:13" x14ac:dyDescent="0.3">
      <c r="A42" t="s">
        <v>204</v>
      </c>
      <c r="B42" t="s">
        <v>205</v>
      </c>
      <c r="C42" t="s">
        <v>206</v>
      </c>
      <c r="D42" t="s">
        <v>84</v>
      </c>
      <c r="E42" t="s">
        <v>17</v>
      </c>
      <c r="F42" t="s">
        <v>207</v>
      </c>
      <c r="G42" t="s">
        <v>28</v>
      </c>
      <c r="H42">
        <v>41.163611109999998</v>
      </c>
      <c r="I42" s="1">
        <v>45905.242361111108</v>
      </c>
      <c r="J42" s="1">
        <v>45906.957638888889</v>
      </c>
      <c r="K42" t="s">
        <v>20</v>
      </c>
      <c r="L42" t="s">
        <v>30</v>
      </c>
      <c r="M42">
        <v>5</v>
      </c>
    </row>
    <row r="43" spans="1:13" x14ac:dyDescent="0.3">
      <c r="A43" t="s">
        <v>208</v>
      </c>
      <c r="B43" t="s">
        <v>209</v>
      </c>
      <c r="C43" t="s">
        <v>210</v>
      </c>
      <c r="D43" t="s">
        <v>40</v>
      </c>
      <c r="E43" t="s">
        <v>26</v>
      </c>
      <c r="F43" t="s">
        <v>211</v>
      </c>
      <c r="G43" t="s">
        <v>54</v>
      </c>
      <c r="H43">
        <v>24.935833330000001</v>
      </c>
      <c r="I43" s="1">
        <v>45913.768055555556</v>
      </c>
      <c r="J43" s="1">
        <v>45914.806944444441</v>
      </c>
      <c r="K43" t="s">
        <v>67</v>
      </c>
      <c r="L43" t="s">
        <v>30</v>
      </c>
      <c r="M43">
        <v>18</v>
      </c>
    </row>
    <row r="44" spans="1:13" ht="28.8" x14ac:dyDescent="0.3">
      <c r="A44" t="s">
        <v>212</v>
      </c>
      <c r="B44" t="s">
        <v>213</v>
      </c>
      <c r="C44" t="s">
        <v>214</v>
      </c>
      <c r="D44" t="s">
        <v>154</v>
      </c>
      <c r="E44" t="s">
        <v>103</v>
      </c>
      <c r="F44" s="2" t="s">
        <v>215</v>
      </c>
      <c r="G44" t="s">
        <v>54</v>
      </c>
      <c r="H44">
        <v>154.30083329999999</v>
      </c>
      <c r="I44" s="1">
        <v>45866.029166666667</v>
      </c>
      <c r="J44" s="1">
        <v>45872.458333333336</v>
      </c>
      <c r="K44" t="s">
        <v>29</v>
      </c>
      <c r="L44" t="s">
        <v>43</v>
      </c>
      <c r="M44">
        <v>0</v>
      </c>
    </row>
    <row r="45" spans="1:13" x14ac:dyDescent="0.3">
      <c r="A45" t="s">
        <v>216</v>
      </c>
      <c r="B45" t="s">
        <v>217</v>
      </c>
      <c r="C45" t="s">
        <v>218</v>
      </c>
      <c r="D45" t="s">
        <v>25</v>
      </c>
      <c r="E45" t="s">
        <v>65</v>
      </c>
      <c r="F45" t="s">
        <v>219</v>
      </c>
      <c r="G45" t="s">
        <v>220</v>
      </c>
      <c r="H45">
        <v>1.536666667</v>
      </c>
      <c r="I45" s="1">
        <v>45868.900694444441</v>
      </c>
      <c r="J45" s="1">
        <v>45868.964583333334</v>
      </c>
      <c r="K45" t="s">
        <v>49</v>
      </c>
      <c r="L45" t="s">
        <v>43</v>
      </c>
      <c r="M45">
        <v>21</v>
      </c>
    </row>
    <row r="46" spans="1:13" x14ac:dyDescent="0.3">
      <c r="A46" t="s">
        <v>221</v>
      </c>
      <c r="B46" t="s">
        <v>222</v>
      </c>
      <c r="C46" t="s">
        <v>223</v>
      </c>
      <c r="D46" t="s">
        <v>40</v>
      </c>
      <c r="E46" t="s">
        <v>60</v>
      </c>
      <c r="F46" t="s">
        <v>224</v>
      </c>
      <c r="G46" t="s">
        <v>19</v>
      </c>
      <c r="H46">
        <v>4.1311111110000001</v>
      </c>
      <c r="I46" s="1">
        <v>45872.126388888886</v>
      </c>
      <c r="J46" s="1">
        <v>45872.298611111109</v>
      </c>
      <c r="K46" t="s">
        <v>134</v>
      </c>
      <c r="L46" t="s">
        <v>55</v>
      </c>
      <c r="M46">
        <v>3</v>
      </c>
    </row>
    <row r="47" spans="1:13" x14ac:dyDescent="0.3">
      <c r="A47" t="s">
        <v>225</v>
      </c>
      <c r="B47" t="s">
        <v>226</v>
      </c>
      <c r="C47" t="s">
        <v>227</v>
      </c>
      <c r="D47" t="s">
        <v>25</v>
      </c>
      <c r="E47" t="s">
        <v>26</v>
      </c>
      <c r="F47" t="s">
        <v>228</v>
      </c>
      <c r="G47" t="s">
        <v>19</v>
      </c>
      <c r="H47">
        <v>11.384444439999999</v>
      </c>
      <c r="I47" s="1">
        <v>45843.40347222222</v>
      </c>
      <c r="J47" s="1">
        <v>45843.87777777778</v>
      </c>
      <c r="K47" t="s">
        <v>67</v>
      </c>
      <c r="L47" t="s">
        <v>43</v>
      </c>
      <c r="M47">
        <v>9</v>
      </c>
    </row>
    <row r="48" spans="1:13" x14ac:dyDescent="0.3">
      <c r="A48" t="s">
        <v>229</v>
      </c>
      <c r="B48" t="s">
        <v>230</v>
      </c>
      <c r="C48" t="s">
        <v>231</v>
      </c>
      <c r="D48" t="s">
        <v>84</v>
      </c>
      <c r="E48" t="s">
        <v>47</v>
      </c>
      <c r="F48" t="s">
        <v>232</v>
      </c>
      <c r="G48" t="s">
        <v>28</v>
      </c>
      <c r="H48">
        <v>45.981388889999998</v>
      </c>
      <c r="I48" s="1">
        <v>45899.571527777778</v>
      </c>
      <c r="J48" s="1">
        <v>45901.486805555556</v>
      </c>
      <c r="K48" t="s">
        <v>67</v>
      </c>
      <c r="L48" t="s">
        <v>55</v>
      </c>
      <c r="M48">
        <v>13</v>
      </c>
    </row>
    <row r="49" spans="1:13" x14ac:dyDescent="0.3">
      <c r="A49" t="s">
        <v>233</v>
      </c>
      <c r="B49" t="s">
        <v>234</v>
      </c>
      <c r="C49" t="s">
        <v>235</v>
      </c>
      <c r="D49" t="s">
        <v>59</v>
      </c>
      <c r="E49" t="s">
        <v>26</v>
      </c>
      <c r="F49" t="s">
        <v>236</v>
      </c>
      <c r="G49" t="s">
        <v>54</v>
      </c>
      <c r="H49">
        <v>117.5608333</v>
      </c>
      <c r="I49" s="1">
        <v>45830.640972222223</v>
      </c>
      <c r="J49" s="1">
        <v>45835.539583333331</v>
      </c>
      <c r="K49" t="s">
        <v>134</v>
      </c>
      <c r="L49" t="s">
        <v>21</v>
      </c>
      <c r="M49">
        <v>15</v>
      </c>
    </row>
    <row r="50" spans="1:13" x14ac:dyDescent="0.3">
      <c r="A50" t="s">
        <v>237</v>
      </c>
      <c r="B50" t="s">
        <v>238</v>
      </c>
      <c r="C50" t="s">
        <v>239</v>
      </c>
      <c r="D50" t="s">
        <v>84</v>
      </c>
      <c r="E50" t="s">
        <v>26</v>
      </c>
      <c r="F50" t="s">
        <v>240</v>
      </c>
      <c r="G50" t="s">
        <v>28</v>
      </c>
      <c r="H50">
        <v>12.453055559999999</v>
      </c>
      <c r="I50" s="1">
        <v>45841.133333333331</v>
      </c>
      <c r="J50" s="1">
        <v>45841.652083333334</v>
      </c>
      <c r="K50" t="s">
        <v>36</v>
      </c>
      <c r="L50" t="s">
        <v>43</v>
      </c>
      <c r="M50">
        <v>3</v>
      </c>
    </row>
    <row r="51" spans="1:13" x14ac:dyDescent="0.3">
      <c r="A51" t="s">
        <v>241</v>
      </c>
      <c r="B51" t="s">
        <v>242</v>
      </c>
      <c r="C51" t="s">
        <v>243</v>
      </c>
      <c r="D51" t="s">
        <v>84</v>
      </c>
      <c r="E51" t="s">
        <v>26</v>
      </c>
      <c r="F51" t="s">
        <v>244</v>
      </c>
      <c r="G51" t="s">
        <v>28</v>
      </c>
      <c r="H51">
        <v>26.69055556</v>
      </c>
      <c r="I51" s="1">
        <v>45878.743750000001</v>
      </c>
      <c r="J51" s="1">
        <v>45879.855555555558</v>
      </c>
      <c r="K51" t="s">
        <v>67</v>
      </c>
      <c r="L51" t="s">
        <v>55</v>
      </c>
      <c r="M51">
        <v>17</v>
      </c>
    </row>
    <row r="52" spans="1:13" x14ac:dyDescent="0.3">
      <c r="A52" t="s">
        <v>245</v>
      </c>
      <c r="B52" t="s">
        <v>246</v>
      </c>
      <c r="C52" t="s">
        <v>247</v>
      </c>
      <c r="D52" t="s">
        <v>16</v>
      </c>
      <c r="E52" t="s">
        <v>41</v>
      </c>
      <c r="F52" t="s">
        <v>248</v>
      </c>
      <c r="G52" t="s">
        <v>54</v>
      </c>
      <c r="H52">
        <v>110.78638890000001</v>
      </c>
      <c r="I52" s="1">
        <v>45861.348611111112</v>
      </c>
      <c r="J52" s="1">
        <v>45865.964583333334</v>
      </c>
      <c r="K52" t="s">
        <v>49</v>
      </c>
      <c r="L52" t="s">
        <v>43</v>
      </c>
      <c r="M52">
        <v>8</v>
      </c>
    </row>
    <row r="53" spans="1:13" x14ac:dyDescent="0.3">
      <c r="A53" t="s">
        <v>249</v>
      </c>
      <c r="B53" t="s">
        <v>250</v>
      </c>
      <c r="C53" t="s">
        <v>251</v>
      </c>
      <c r="D53" t="s">
        <v>25</v>
      </c>
      <c r="E53" t="s">
        <v>26</v>
      </c>
      <c r="F53" t="s">
        <v>252</v>
      </c>
      <c r="G53" t="s">
        <v>54</v>
      </c>
      <c r="H53">
        <v>149.55611110000001</v>
      </c>
      <c r="I53" s="1">
        <v>45869.82708333333</v>
      </c>
      <c r="J53" s="1">
        <v>45876.059027777781</v>
      </c>
      <c r="K53" t="s">
        <v>36</v>
      </c>
      <c r="L53" t="s">
        <v>43</v>
      </c>
      <c r="M53">
        <v>19</v>
      </c>
    </row>
    <row r="54" spans="1:13" x14ac:dyDescent="0.3">
      <c r="A54" t="s">
        <v>253</v>
      </c>
      <c r="B54" t="s">
        <v>254</v>
      </c>
      <c r="C54" t="s">
        <v>255</v>
      </c>
      <c r="D54" t="s">
        <v>25</v>
      </c>
      <c r="E54" t="s">
        <v>41</v>
      </c>
      <c r="F54" t="s">
        <v>256</v>
      </c>
      <c r="G54" t="s">
        <v>28</v>
      </c>
      <c r="H54">
        <v>15.09888889</v>
      </c>
      <c r="I54" s="1">
        <v>45837.097916666666</v>
      </c>
      <c r="J54" s="1">
        <v>45837.727083333331</v>
      </c>
      <c r="K54" t="s">
        <v>134</v>
      </c>
      <c r="L54" t="s">
        <v>21</v>
      </c>
      <c r="M54">
        <v>2</v>
      </c>
    </row>
    <row r="55" spans="1:13" x14ac:dyDescent="0.3">
      <c r="A55" t="s">
        <v>257</v>
      </c>
      <c r="B55" t="s">
        <v>258</v>
      </c>
      <c r="C55" t="s">
        <v>259</v>
      </c>
      <c r="D55" t="s">
        <v>25</v>
      </c>
      <c r="E55" t="s">
        <v>26</v>
      </c>
      <c r="F55" t="s">
        <v>260</v>
      </c>
      <c r="G55" t="s">
        <v>28</v>
      </c>
      <c r="H55">
        <v>13.19722222</v>
      </c>
      <c r="I55" s="1">
        <v>45884.861805555556</v>
      </c>
      <c r="J55" s="1">
        <v>45885.411805555559</v>
      </c>
      <c r="K55" t="s">
        <v>20</v>
      </c>
      <c r="L55" t="s">
        <v>55</v>
      </c>
      <c r="M55">
        <v>20</v>
      </c>
    </row>
    <row r="56" spans="1:13" x14ac:dyDescent="0.3">
      <c r="A56" t="s">
        <v>261</v>
      </c>
      <c r="B56" t="s">
        <v>262</v>
      </c>
      <c r="C56" t="s">
        <v>263</v>
      </c>
      <c r="D56" t="s">
        <v>84</v>
      </c>
      <c r="E56" t="s">
        <v>34</v>
      </c>
      <c r="F56" t="s">
        <v>264</v>
      </c>
      <c r="G56" t="s">
        <v>19</v>
      </c>
      <c r="H56">
        <v>10.05083333</v>
      </c>
      <c r="I56" s="1">
        <v>45853.375</v>
      </c>
      <c r="J56" s="1">
        <v>45853.793749999997</v>
      </c>
      <c r="K56" t="s">
        <v>87</v>
      </c>
      <c r="L56" t="s">
        <v>43</v>
      </c>
      <c r="M56">
        <v>9</v>
      </c>
    </row>
    <row r="57" spans="1:13" x14ac:dyDescent="0.3">
      <c r="A57" t="s">
        <v>265</v>
      </c>
      <c r="B57" t="s">
        <v>266</v>
      </c>
      <c r="C57" t="s">
        <v>267</v>
      </c>
      <c r="D57" t="s">
        <v>59</v>
      </c>
      <c r="E57" t="s">
        <v>26</v>
      </c>
      <c r="F57" t="s">
        <v>268</v>
      </c>
      <c r="G57" t="s">
        <v>28</v>
      </c>
      <c r="H57">
        <v>40.683333330000004</v>
      </c>
      <c r="I57" s="1">
        <v>45829.04583333333</v>
      </c>
      <c r="J57" s="1">
        <v>45830.740972222222</v>
      </c>
      <c r="K57" t="s">
        <v>67</v>
      </c>
      <c r="L57" t="s">
        <v>21</v>
      </c>
      <c r="M57">
        <v>1</v>
      </c>
    </row>
    <row r="58" spans="1:13" x14ac:dyDescent="0.3">
      <c r="A58" t="s">
        <v>269</v>
      </c>
      <c r="B58" t="s">
        <v>270</v>
      </c>
      <c r="C58" t="s">
        <v>271</v>
      </c>
      <c r="D58" t="s">
        <v>16</v>
      </c>
      <c r="E58" t="s">
        <v>41</v>
      </c>
      <c r="F58" t="s">
        <v>272</v>
      </c>
      <c r="G58" t="s">
        <v>28</v>
      </c>
      <c r="H58">
        <v>30.605833329999999</v>
      </c>
      <c r="I58" s="1">
        <v>45871.327777777777</v>
      </c>
      <c r="J58" s="1">
        <v>45872.602777777778</v>
      </c>
      <c r="K58" t="s">
        <v>67</v>
      </c>
      <c r="L58" t="s">
        <v>55</v>
      </c>
      <c r="M58">
        <v>7</v>
      </c>
    </row>
    <row r="59" spans="1:13" x14ac:dyDescent="0.3">
      <c r="A59" t="s">
        <v>273</v>
      </c>
      <c r="B59" t="s">
        <v>274</v>
      </c>
      <c r="C59" t="s">
        <v>275</v>
      </c>
      <c r="D59" t="s">
        <v>112</v>
      </c>
      <c r="E59" t="s">
        <v>65</v>
      </c>
      <c r="F59" t="s">
        <v>276</v>
      </c>
      <c r="G59" t="s">
        <v>54</v>
      </c>
      <c r="H59">
        <v>166.3230556</v>
      </c>
      <c r="I59" s="1">
        <v>45860.353472222225</v>
      </c>
      <c r="J59" s="1">
        <v>45867.283333333333</v>
      </c>
      <c r="K59" t="s">
        <v>87</v>
      </c>
      <c r="L59" t="s">
        <v>43</v>
      </c>
      <c r="M59">
        <v>8</v>
      </c>
    </row>
    <row r="60" spans="1:13" x14ac:dyDescent="0.3">
      <c r="A60" t="s">
        <v>277</v>
      </c>
      <c r="B60" t="s">
        <v>278</v>
      </c>
      <c r="C60" t="s">
        <v>279</v>
      </c>
      <c r="D60" t="s">
        <v>16</v>
      </c>
      <c r="E60" t="s">
        <v>65</v>
      </c>
      <c r="F60" t="s">
        <v>280</v>
      </c>
      <c r="G60" t="s">
        <v>28</v>
      </c>
      <c r="H60">
        <v>41.563055560000002</v>
      </c>
      <c r="I60" s="1">
        <v>45875.570833333331</v>
      </c>
      <c r="J60" s="1">
        <v>45877.302777777775</v>
      </c>
      <c r="K60" t="s">
        <v>49</v>
      </c>
      <c r="L60" t="s">
        <v>55</v>
      </c>
      <c r="M60">
        <v>13</v>
      </c>
    </row>
    <row r="61" spans="1:13" x14ac:dyDescent="0.3">
      <c r="A61" t="s">
        <v>281</v>
      </c>
      <c r="B61" t="s">
        <v>282</v>
      </c>
      <c r="C61" t="s">
        <v>283</v>
      </c>
      <c r="D61" t="s">
        <v>25</v>
      </c>
      <c r="E61" t="s">
        <v>60</v>
      </c>
      <c r="F61" t="s">
        <v>284</v>
      </c>
      <c r="G61" t="s">
        <v>28</v>
      </c>
      <c r="H61">
        <v>31.670833330000001</v>
      </c>
      <c r="I61" s="1">
        <v>45827.275694444441</v>
      </c>
      <c r="J61" s="1">
        <v>45828.595138888886</v>
      </c>
      <c r="K61" t="s">
        <v>36</v>
      </c>
      <c r="L61" t="s">
        <v>21</v>
      </c>
      <c r="M61">
        <v>6</v>
      </c>
    </row>
    <row r="62" spans="1:13" x14ac:dyDescent="0.3">
      <c r="A62" t="s">
        <v>285</v>
      </c>
      <c r="B62" t="s">
        <v>286</v>
      </c>
      <c r="C62" t="s">
        <v>287</v>
      </c>
      <c r="D62" t="s">
        <v>40</v>
      </c>
      <c r="E62" t="s">
        <v>41</v>
      </c>
      <c r="F62" t="s">
        <v>288</v>
      </c>
      <c r="G62" t="s">
        <v>28</v>
      </c>
      <c r="H62">
        <v>24.736944439999998</v>
      </c>
      <c r="I62" s="1">
        <v>45896.461805555555</v>
      </c>
      <c r="J62" s="1">
        <v>45897.492361111108</v>
      </c>
      <c r="K62" t="s">
        <v>49</v>
      </c>
      <c r="L62" t="s">
        <v>55</v>
      </c>
      <c r="M62">
        <v>11</v>
      </c>
    </row>
    <row r="63" spans="1:13" x14ac:dyDescent="0.3">
      <c r="A63" t="s">
        <v>289</v>
      </c>
      <c r="B63" t="s">
        <v>290</v>
      </c>
      <c r="C63" t="s">
        <v>291</v>
      </c>
      <c r="D63" t="s">
        <v>25</v>
      </c>
      <c r="E63" t="s">
        <v>17</v>
      </c>
      <c r="F63" t="s">
        <v>292</v>
      </c>
      <c r="G63" t="s">
        <v>28</v>
      </c>
      <c r="H63">
        <v>37.730833330000003</v>
      </c>
      <c r="I63" s="1">
        <v>45910.84652777778</v>
      </c>
      <c r="J63" s="1">
        <v>45912.418749999997</v>
      </c>
      <c r="K63" t="s">
        <v>49</v>
      </c>
      <c r="L63" t="s">
        <v>30</v>
      </c>
      <c r="M63">
        <v>20</v>
      </c>
    </row>
    <row r="64" spans="1:13" x14ac:dyDescent="0.3">
      <c r="A64" t="s">
        <v>293</v>
      </c>
      <c r="B64" t="s">
        <v>294</v>
      </c>
      <c r="C64" t="s">
        <v>295</v>
      </c>
      <c r="D64" t="s">
        <v>25</v>
      </c>
      <c r="E64" t="s">
        <v>79</v>
      </c>
      <c r="F64" t="s">
        <v>296</v>
      </c>
      <c r="G64" t="s">
        <v>28</v>
      </c>
      <c r="H64">
        <v>23.700555560000002</v>
      </c>
      <c r="I64" s="1">
        <v>45839.693749999999</v>
      </c>
      <c r="J64" s="1">
        <v>45840.681250000001</v>
      </c>
      <c r="K64" t="s">
        <v>87</v>
      </c>
      <c r="L64" t="s">
        <v>43</v>
      </c>
      <c r="M64">
        <v>16</v>
      </c>
    </row>
    <row r="65" spans="1:13" x14ac:dyDescent="0.3">
      <c r="A65" t="s">
        <v>297</v>
      </c>
      <c r="B65" t="s">
        <v>298</v>
      </c>
      <c r="C65" t="s">
        <v>299</v>
      </c>
      <c r="D65" t="s">
        <v>59</v>
      </c>
      <c r="E65" t="s">
        <v>79</v>
      </c>
      <c r="F65" t="s">
        <v>300</v>
      </c>
      <c r="G65" t="s">
        <v>19</v>
      </c>
      <c r="H65">
        <v>7.9744444440000004</v>
      </c>
      <c r="I65" s="1">
        <v>45871.331250000003</v>
      </c>
      <c r="J65" s="1">
        <v>45871.663194444445</v>
      </c>
      <c r="K65" t="s">
        <v>67</v>
      </c>
      <c r="L65" t="s">
        <v>55</v>
      </c>
      <c r="M65">
        <v>7</v>
      </c>
    </row>
    <row r="66" spans="1:13" x14ac:dyDescent="0.3">
      <c r="A66" t="s">
        <v>301</v>
      </c>
      <c r="B66" t="s">
        <v>302</v>
      </c>
      <c r="C66" t="s">
        <v>303</v>
      </c>
      <c r="D66" t="s">
        <v>59</v>
      </c>
      <c r="E66" t="s">
        <v>47</v>
      </c>
      <c r="F66" t="s">
        <v>304</v>
      </c>
      <c r="G66" t="s">
        <v>28</v>
      </c>
      <c r="H66">
        <v>8.0619444439999999</v>
      </c>
      <c r="I66" s="1">
        <v>45910.248611111114</v>
      </c>
      <c r="J66" s="1">
        <v>45910.584027777775</v>
      </c>
      <c r="K66" t="s">
        <v>49</v>
      </c>
      <c r="L66" t="s">
        <v>30</v>
      </c>
      <c r="M66">
        <v>5</v>
      </c>
    </row>
    <row r="67" spans="1:13" x14ac:dyDescent="0.3">
      <c r="A67" t="s">
        <v>305</v>
      </c>
      <c r="B67" t="s">
        <v>306</v>
      </c>
      <c r="C67" t="s">
        <v>307</v>
      </c>
      <c r="D67" t="s">
        <v>84</v>
      </c>
      <c r="E67" t="s">
        <v>17</v>
      </c>
      <c r="F67" t="s">
        <v>308</v>
      </c>
      <c r="G67" t="s">
        <v>28</v>
      </c>
      <c r="H67">
        <v>14.739166669999999</v>
      </c>
      <c r="I67" s="1">
        <v>45886.799305555556</v>
      </c>
      <c r="J67" s="1">
        <v>45887.413194444445</v>
      </c>
      <c r="K67" t="s">
        <v>134</v>
      </c>
      <c r="L67" t="s">
        <v>55</v>
      </c>
      <c r="M67">
        <v>19</v>
      </c>
    </row>
    <row r="68" spans="1:13" x14ac:dyDescent="0.3">
      <c r="A68" t="s">
        <v>309</v>
      </c>
      <c r="B68" t="s">
        <v>310</v>
      </c>
      <c r="C68" t="s">
        <v>311</v>
      </c>
      <c r="D68" t="s">
        <v>40</v>
      </c>
      <c r="E68" t="s">
        <v>34</v>
      </c>
      <c r="F68" t="s">
        <v>312</v>
      </c>
      <c r="G68" t="s">
        <v>54</v>
      </c>
      <c r="H68">
        <v>133.72527779999999</v>
      </c>
      <c r="I68" s="1">
        <v>45856.26458333333</v>
      </c>
      <c r="J68" s="1">
        <v>45861.836805555555</v>
      </c>
      <c r="K68" t="s">
        <v>20</v>
      </c>
      <c r="L68" t="s">
        <v>43</v>
      </c>
      <c r="M68">
        <v>6</v>
      </c>
    </row>
    <row r="69" spans="1:13" x14ac:dyDescent="0.3">
      <c r="A69" t="s">
        <v>313</v>
      </c>
      <c r="B69" t="s">
        <v>314</v>
      </c>
      <c r="C69" t="s">
        <v>315</v>
      </c>
      <c r="D69" t="s">
        <v>84</v>
      </c>
      <c r="E69" t="s">
        <v>79</v>
      </c>
      <c r="F69" t="s">
        <v>316</v>
      </c>
      <c r="G69" t="s">
        <v>28</v>
      </c>
      <c r="H69">
        <v>34.744999999999997</v>
      </c>
      <c r="I69" s="1">
        <v>45844.095833333333</v>
      </c>
      <c r="J69" s="1">
        <v>45845.543749999997</v>
      </c>
      <c r="K69" t="s">
        <v>134</v>
      </c>
      <c r="L69" t="s">
        <v>43</v>
      </c>
      <c r="M69">
        <v>2</v>
      </c>
    </row>
    <row r="70" spans="1:13" x14ac:dyDescent="0.3">
      <c r="A70" t="s">
        <v>317</v>
      </c>
      <c r="B70" t="s">
        <v>318</v>
      </c>
      <c r="C70" t="s">
        <v>319</v>
      </c>
      <c r="D70" t="s">
        <v>25</v>
      </c>
      <c r="E70" t="s">
        <v>60</v>
      </c>
      <c r="F70" t="s">
        <v>320</v>
      </c>
      <c r="G70" t="s">
        <v>54</v>
      </c>
      <c r="H70">
        <v>78.502777780000002</v>
      </c>
      <c r="I70" s="1">
        <v>45894.948611111111</v>
      </c>
      <c r="J70" s="1">
        <v>45898.219444444447</v>
      </c>
      <c r="K70" t="s">
        <v>29</v>
      </c>
      <c r="L70" t="s">
        <v>55</v>
      </c>
      <c r="M70">
        <v>22</v>
      </c>
    </row>
    <row r="71" spans="1:13" x14ac:dyDescent="0.3">
      <c r="A71" t="s">
        <v>321</v>
      </c>
      <c r="B71" t="s">
        <v>322</v>
      </c>
      <c r="C71" t="s">
        <v>323</v>
      </c>
      <c r="D71" t="s">
        <v>25</v>
      </c>
      <c r="E71" t="s">
        <v>47</v>
      </c>
      <c r="F71" t="s">
        <v>324</v>
      </c>
      <c r="G71" t="s">
        <v>28</v>
      </c>
      <c r="H71">
        <v>24.108888889999999</v>
      </c>
      <c r="I71" s="1">
        <v>45907.020833333336</v>
      </c>
      <c r="J71" s="1">
        <v>45908.025694444441</v>
      </c>
      <c r="K71" t="s">
        <v>134</v>
      </c>
      <c r="L71" t="s">
        <v>30</v>
      </c>
      <c r="M71">
        <v>0</v>
      </c>
    </row>
    <row r="72" spans="1:13" x14ac:dyDescent="0.3">
      <c r="A72" t="s">
        <v>325</v>
      </c>
      <c r="B72" t="s">
        <v>326</v>
      </c>
      <c r="C72" t="s">
        <v>327</v>
      </c>
      <c r="D72" t="s">
        <v>40</v>
      </c>
      <c r="E72" t="s">
        <v>79</v>
      </c>
      <c r="F72" t="s">
        <v>328</v>
      </c>
      <c r="G72" t="s">
        <v>220</v>
      </c>
      <c r="H72">
        <v>3.2174999999999998</v>
      </c>
      <c r="I72" s="1">
        <v>45859.915277777778</v>
      </c>
      <c r="J72" s="1">
        <v>45860.049305555556</v>
      </c>
      <c r="K72" t="s">
        <v>29</v>
      </c>
      <c r="L72" t="s">
        <v>43</v>
      </c>
      <c r="M72">
        <v>21</v>
      </c>
    </row>
    <row r="73" spans="1:13" x14ac:dyDescent="0.3">
      <c r="A73" t="s">
        <v>329</v>
      </c>
      <c r="B73" t="s">
        <v>330</v>
      </c>
      <c r="C73" t="s">
        <v>331</v>
      </c>
      <c r="D73" t="s">
        <v>25</v>
      </c>
      <c r="E73" t="s">
        <v>34</v>
      </c>
      <c r="F73" t="s">
        <v>332</v>
      </c>
      <c r="G73" t="s">
        <v>28</v>
      </c>
      <c r="H73">
        <v>20.04972222</v>
      </c>
      <c r="I73" s="1">
        <v>45862.538194444445</v>
      </c>
      <c r="J73" s="1">
        <v>45863.373611111114</v>
      </c>
      <c r="K73" t="s">
        <v>36</v>
      </c>
      <c r="L73" t="s">
        <v>43</v>
      </c>
      <c r="M73">
        <v>12</v>
      </c>
    </row>
    <row r="74" spans="1:13" x14ac:dyDescent="0.3">
      <c r="A74" t="s">
        <v>333</v>
      </c>
      <c r="B74" t="s">
        <v>334</v>
      </c>
      <c r="C74" t="s">
        <v>335</v>
      </c>
      <c r="D74" t="s">
        <v>84</v>
      </c>
      <c r="E74" t="s">
        <v>79</v>
      </c>
      <c r="F74" t="s">
        <v>336</v>
      </c>
      <c r="G74" t="s">
        <v>28</v>
      </c>
      <c r="H74">
        <v>37.835277779999998</v>
      </c>
      <c r="I74" s="1">
        <v>45826.320833333331</v>
      </c>
      <c r="J74" s="1">
        <v>45827.897222222222</v>
      </c>
      <c r="K74" t="s">
        <v>49</v>
      </c>
      <c r="L74" t="s">
        <v>21</v>
      </c>
      <c r="M74">
        <v>7</v>
      </c>
    </row>
    <row r="75" spans="1:13" x14ac:dyDescent="0.3">
      <c r="A75" t="s">
        <v>337</v>
      </c>
      <c r="B75" t="s">
        <v>338</v>
      </c>
      <c r="C75" t="s">
        <v>339</v>
      </c>
      <c r="D75" t="s">
        <v>16</v>
      </c>
      <c r="E75" t="s">
        <v>85</v>
      </c>
      <c r="F75" t="s">
        <v>340</v>
      </c>
      <c r="G75" t="s">
        <v>19</v>
      </c>
      <c r="H75">
        <v>8.1097222220000003</v>
      </c>
      <c r="I75" s="1">
        <v>45903.106944444444</v>
      </c>
      <c r="J75" s="1">
        <v>45903.444444444445</v>
      </c>
      <c r="K75" t="s">
        <v>49</v>
      </c>
      <c r="L75" t="s">
        <v>30</v>
      </c>
      <c r="M75">
        <v>2</v>
      </c>
    </row>
    <row r="76" spans="1:13" x14ac:dyDescent="0.3">
      <c r="A76" t="s">
        <v>341</v>
      </c>
      <c r="B76" t="s">
        <v>342</v>
      </c>
      <c r="C76" t="s">
        <v>343</v>
      </c>
      <c r="D76" t="s">
        <v>112</v>
      </c>
      <c r="E76" t="s">
        <v>26</v>
      </c>
      <c r="F76" t="s">
        <v>344</v>
      </c>
      <c r="G76" t="s">
        <v>54</v>
      </c>
      <c r="H76">
        <v>144.03055560000001</v>
      </c>
      <c r="I76" s="1">
        <v>45877.970138888886</v>
      </c>
      <c r="J76" s="1">
        <v>45883.97152777778</v>
      </c>
      <c r="K76" t="s">
        <v>20</v>
      </c>
      <c r="L76" t="s">
        <v>55</v>
      </c>
      <c r="M76">
        <v>23</v>
      </c>
    </row>
    <row r="77" spans="1:13" x14ac:dyDescent="0.3">
      <c r="A77" t="s">
        <v>345</v>
      </c>
      <c r="B77" t="s">
        <v>346</v>
      </c>
      <c r="C77" t="s">
        <v>347</v>
      </c>
      <c r="D77" t="s">
        <v>16</v>
      </c>
      <c r="E77" t="s">
        <v>79</v>
      </c>
      <c r="F77" t="s">
        <v>348</v>
      </c>
      <c r="G77" t="s">
        <v>19</v>
      </c>
      <c r="H77">
        <v>7.8786111109999997</v>
      </c>
      <c r="I77" s="1">
        <v>45897.074999999997</v>
      </c>
      <c r="J77" s="1">
        <v>45897.402777777781</v>
      </c>
      <c r="K77" t="s">
        <v>36</v>
      </c>
      <c r="L77" t="s">
        <v>55</v>
      </c>
      <c r="M77">
        <v>1</v>
      </c>
    </row>
    <row r="78" spans="1:13" x14ac:dyDescent="0.3">
      <c r="A78" t="s">
        <v>349</v>
      </c>
      <c r="B78" t="s">
        <v>350</v>
      </c>
      <c r="C78" t="s">
        <v>351</v>
      </c>
      <c r="D78" t="s">
        <v>25</v>
      </c>
      <c r="E78" t="s">
        <v>26</v>
      </c>
      <c r="F78" t="s">
        <v>352</v>
      </c>
      <c r="G78" t="s">
        <v>19</v>
      </c>
      <c r="H78">
        <v>3.6636111109999998</v>
      </c>
      <c r="I78" s="1">
        <v>45858.438194444447</v>
      </c>
      <c r="J78" s="1">
        <v>45858.59097222222</v>
      </c>
      <c r="K78" t="s">
        <v>134</v>
      </c>
      <c r="L78" t="s">
        <v>43</v>
      </c>
      <c r="M78">
        <v>10</v>
      </c>
    </row>
    <row r="79" spans="1:13" x14ac:dyDescent="0.3">
      <c r="A79" t="s">
        <v>353</v>
      </c>
      <c r="B79" t="s">
        <v>354</v>
      </c>
      <c r="C79" t="s">
        <v>355</v>
      </c>
      <c r="D79" t="s">
        <v>112</v>
      </c>
      <c r="E79" t="s">
        <v>60</v>
      </c>
      <c r="F79" t="s">
        <v>356</v>
      </c>
      <c r="G79" t="s">
        <v>19</v>
      </c>
      <c r="H79">
        <v>6.9613888890000002</v>
      </c>
      <c r="I79" s="1">
        <v>45855.654166666667</v>
      </c>
      <c r="J79" s="1">
        <v>45855.944444444445</v>
      </c>
      <c r="K79" t="s">
        <v>36</v>
      </c>
      <c r="L79" t="s">
        <v>43</v>
      </c>
      <c r="M79">
        <v>15</v>
      </c>
    </row>
    <row r="80" spans="1:13" x14ac:dyDescent="0.3">
      <c r="A80" t="s">
        <v>357</v>
      </c>
      <c r="B80" t="s">
        <v>358</v>
      </c>
      <c r="C80" t="s">
        <v>359</v>
      </c>
      <c r="D80" t="s">
        <v>25</v>
      </c>
      <c r="E80" t="s">
        <v>26</v>
      </c>
      <c r="F80" t="s">
        <v>360</v>
      </c>
      <c r="G80" t="s">
        <v>54</v>
      </c>
      <c r="H80">
        <v>63.510833329999997</v>
      </c>
      <c r="I80" s="1">
        <v>45861.832638888889</v>
      </c>
      <c r="J80" s="1">
        <v>45864.478472222225</v>
      </c>
      <c r="K80" t="s">
        <v>49</v>
      </c>
      <c r="L80" t="s">
        <v>43</v>
      </c>
      <c r="M80">
        <v>19</v>
      </c>
    </row>
    <row r="81" spans="1:13" x14ac:dyDescent="0.3">
      <c r="A81" t="s">
        <v>361</v>
      </c>
      <c r="B81" t="s">
        <v>362</v>
      </c>
      <c r="C81" t="s">
        <v>363</v>
      </c>
      <c r="D81" t="s">
        <v>84</v>
      </c>
      <c r="E81" t="s">
        <v>26</v>
      </c>
      <c r="F81" t="s">
        <v>364</v>
      </c>
      <c r="G81" t="s">
        <v>54</v>
      </c>
      <c r="H81">
        <v>95.163888889999996</v>
      </c>
      <c r="I81" s="1">
        <v>45835.873611111114</v>
      </c>
      <c r="J81" s="1">
        <v>45839.838888888888</v>
      </c>
      <c r="K81" t="s">
        <v>20</v>
      </c>
      <c r="L81" t="s">
        <v>21</v>
      </c>
      <c r="M81">
        <v>20</v>
      </c>
    </row>
    <row r="82" spans="1:13" x14ac:dyDescent="0.3">
      <c r="A82" t="s">
        <v>365</v>
      </c>
      <c r="B82" t="s">
        <v>366</v>
      </c>
      <c r="C82" t="s">
        <v>367</v>
      </c>
      <c r="D82" t="s">
        <v>25</v>
      </c>
      <c r="E82" t="s">
        <v>65</v>
      </c>
      <c r="F82" t="s">
        <v>368</v>
      </c>
      <c r="G82" t="s">
        <v>54</v>
      </c>
      <c r="H82">
        <v>149.81777779999999</v>
      </c>
      <c r="I82" s="1">
        <v>45827.696527777778</v>
      </c>
      <c r="J82" s="1">
        <v>45833.938888888886</v>
      </c>
      <c r="K82" t="s">
        <v>36</v>
      </c>
      <c r="L82" t="s">
        <v>21</v>
      </c>
      <c r="M82">
        <v>16</v>
      </c>
    </row>
    <row r="83" spans="1:13" x14ac:dyDescent="0.3">
      <c r="A83" t="s">
        <v>369</v>
      </c>
      <c r="B83" t="s">
        <v>370</v>
      </c>
      <c r="C83" t="s">
        <v>371</v>
      </c>
      <c r="D83" t="s">
        <v>59</v>
      </c>
      <c r="E83" t="s">
        <v>41</v>
      </c>
      <c r="F83" t="s">
        <v>372</v>
      </c>
      <c r="G83" t="s">
        <v>54</v>
      </c>
      <c r="H83">
        <v>105.1647222</v>
      </c>
      <c r="I83" s="1">
        <v>45835.034722222219</v>
      </c>
      <c r="J83" s="1">
        <v>45839.416666666664</v>
      </c>
      <c r="K83" t="s">
        <v>20</v>
      </c>
      <c r="L83" t="s">
        <v>21</v>
      </c>
      <c r="M83">
        <v>0</v>
      </c>
    </row>
    <row r="84" spans="1:13" x14ac:dyDescent="0.3">
      <c r="A84" t="s">
        <v>373</v>
      </c>
      <c r="B84" t="s">
        <v>374</v>
      </c>
      <c r="C84" t="s">
        <v>375</v>
      </c>
      <c r="D84" t="s">
        <v>25</v>
      </c>
      <c r="E84" t="s">
        <v>26</v>
      </c>
      <c r="F84" t="s">
        <v>376</v>
      </c>
      <c r="G84" t="s">
        <v>28</v>
      </c>
      <c r="H84">
        <v>45.063888890000001</v>
      </c>
      <c r="I84" s="1">
        <v>45879.470138888886</v>
      </c>
      <c r="J84" s="1">
        <v>45881.347916666666</v>
      </c>
      <c r="K84" t="s">
        <v>134</v>
      </c>
      <c r="L84" t="s">
        <v>55</v>
      </c>
      <c r="M84">
        <v>11</v>
      </c>
    </row>
    <row r="85" spans="1:13" x14ac:dyDescent="0.3">
      <c r="A85" t="s">
        <v>377</v>
      </c>
      <c r="B85" t="s">
        <v>378</v>
      </c>
      <c r="C85" t="s">
        <v>379</v>
      </c>
      <c r="D85" t="s">
        <v>154</v>
      </c>
      <c r="E85" t="s">
        <v>47</v>
      </c>
      <c r="F85" t="s">
        <v>380</v>
      </c>
      <c r="G85" t="s">
        <v>54</v>
      </c>
      <c r="H85">
        <v>59.617777779999997</v>
      </c>
      <c r="I85" s="1">
        <v>45867.075694444444</v>
      </c>
      <c r="J85" s="1">
        <v>45869.55972222222</v>
      </c>
      <c r="K85" t="s">
        <v>87</v>
      </c>
      <c r="L85" t="s">
        <v>43</v>
      </c>
      <c r="M85">
        <v>1</v>
      </c>
    </row>
    <row r="86" spans="1:13" x14ac:dyDescent="0.3">
      <c r="A86" t="s">
        <v>381</v>
      </c>
      <c r="B86" t="s">
        <v>382</v>
      </c>
      <c r="C86" t="s">
        <v>383</v>
      </c>
      <c r="D86" t="s">
        <v>40</v>
      </c>
      <c r="E86" t="s">
        <v>103</v>
      </c>
      <c r="F86" t="s">
        <v>384</v>
      </c>
      <c r="G86" t="s">
        <v>54</v>
      </c>
      <c r="H86">
        <v>110.19444439999999</v>
      </c>
      <c r="I86" s="1">
        <v>45844.42291666667</v>
      </c>
      <c r="J86" s="1">
        <v>45849.013888888891</v>
      </c>
      <c r="K86" t="s">
        <v>134</v>
      </c>
      <c r="L86" t="s">
        <v>43</v>
      </c>
      <c r="M86">
        <v>10</v>
      </c>
    </row>
    <row r="87" spans="1:13" x14ac:dyDescent="0.3">
      <c r="A87" t="s">
        <v>385</v>
      </c>
      <c r="B87" t="s">
        <v>386</v>
      </c>
      <c r="C87" t="s">
        <v>387</v>
      </c>
      <c r="D87" t="s">
        <v>59</v>
      </c>
      <c r="E87" t="s">
        <v>60</v>
      </c>
      <c r="F87" t="s">
        <v>388</v>
      </c>
      <c r="G87" t="s">
        <v>19</v>
      </c>
      <c r="H87">
        <v>8.7436111109999999</v>
      </c>
      <c r="I87" s="1">
        <v>45868.182638888888</v>
      </c>
      <c r="J87" s="1">
        <v>45868.547222222223</v>
      </c>
      <c r="K87" t="s">
        <v>49</v>
      </c>
      <c r="L87" t="s">
        <v>43</v>
      </c>
      <c r="M87">
        <v>4</v>
      </c>
    </row>
    <row r="88" spans="1:13" x14ac:dyDescent="0.3">
      <c r="A88" t="s">
        <v>389</v>
      </c>
      <c r="B88" t="s">
        <v>390</v>
      </c>
      <c r="C88" t="s">
        <v>391</v>
      </c>
      <c r="D88" t="s">
        <v>25</v>
      </c>
      <c r="E88" t="s">
        <v>79</v>
      </c>
      <c r="F88" t="s">
        <v>392</v>
      </c>
      <c r="G88" t="s">
        <v>28</v>
      </c>
      <c r="H88">
        <v>35.308611110000001</v>
      </c>
      <c r="I88" s="1">
        <v>45892.220833333333</v>
      </c>
      <c r="J88" s="1">
        <v>45893.692361111112</v>
      </c>
      <c r="K88" t="s">
        <v>67</v>
      </c>
      <c r="L88" t="s">
        <v>55</v>
      </c>
      <c r="M88">
        <v>5</v>
      </c>
    </row>
    <row r="89" spans="1:13" x14ac:dyDescent="0.3">
      <c r="A89" t="s">
        <v>393</v>
      </c>
      <c r="B89" t="s">
        <v>394</v>
      </c>
      <c r="C89" t="s">
        <v>395</v>
      </c>
      <c r="D89" t="s">
        <v>40</v>
      </c>
      <c r="E89" t="s">
        <v>34</v>
      </c>
      <c r="F89" t="s">
        <v>396</v>
      </c>
      <c r="G89" t="s">
        <v>28</v>
      </c>
      <c r="H89">
        <v>20.011111110000002</v>
      </c>
      <c r="I89" s="1">
        <v>45848.132638888892</v>
      </c>
      <c r="J89" s="1">
        <v>45848.966666666667</v>
      </c>
      <c r="K89" t="s">
        <v>36</v>
      </c>
      <c r="L89" t="s">
        <v>43</v>
      </c>
      <c r="M89">
        <v>3</v>
      </c>
    </row>
    <row r="90" spans="1:13" x14ac:dyDescent="0.3">
      <c r="A90" t="s">
        <v>397</v>
      </c>
      <c r="B90" t="s">
        <v>398</v>
      </c>
      <c r="C90" t="s">
        <v>399</v>
      </c>
      <c r="D90" t="s">
        <v>25</v>
      </c>
      <c r="E90" t="s">
        <v>60</v>
      </c>
      <c r="F90" t="s">
        <v>400</v>
      </c>
      <c r="G90" t="s">
        <v>28</v>
      </c>
      <c r="H90">
        <v>31.555</v>
      </c>
      <c r="I90" s="1">
        <v>45912.790277777778</v>
      </c>
      <c r="J90" s="1">
        <v>45914.104861111111</v>
      </c>
      <c r="K90" t="s">
        <v>20</v>
      </c>
      <c r="L90" t="s">
        <v>30</v>
      </c>
      <c r="M90">
        <v>18</v>
      </c>
    </row>
    <row r="91" spans="1:13" x14ac:dyDescent="0.3">
      <c r="A91" t="s">
        <v>401</v>
      </c>
      <c r="B91" t="s">
        <v>402</v>
      </c>
      <c r="C91" t="s">
        <v>403</v>
      </c>
      <c r="D91" t="s">
        <v>25</v>
      </c>
      <c r="E91" t="s">
        <v>60</v>
      </c>
      <c r="F91" t="s">
        <v>404</v>
      </c>
      <c r="G91" t="s">
        <v>54</v>
      </c>
      <c r="H91">
        <v>145.01277780000001</v>
      </c>
      <c r="I91" s="1">
        <v>45902.638888888891</v>
      </c>
      <c r="J91" s="1">
        <v>45908.681250000001</v>
      </c>
      <c r="K91" t="s">
        <v>87</v>
      </c>
      <c r="L91" t="s">
        <v>30</v>
      </c>
      <c r="M91">
        <v>15</v>
      </c>
    </row>
    <row r="92" spans="1:13" x14ac:dyDescent="0.3">
      <c r="A92" t="s">
        <v>405</v>
      </c>
      <c r="B92" t="s">
        <v>406</v>
      </c>
      <c r="C92" t="s">
        <v>407</v>
      </c>
      <c r="D92" t="s">
        <v>25</v>
      </c>
      <c r="E92" t="s">
        <v>17</v>
      </c>
      <c r="F92" t="s">
        <v>408</v>
      </c>
      <c r="G92" t="s">
        <v>28</v>
      </c>
      <c r="H92">
        <v>18.29555556</v>
      </c>
      <c r="I92" s="1">
        <v>45850.50277777778</v>
      </c>
      <c r="J92" s="1">
        <v>45851.265277777777</v>
      </c>
      <c r="K92" t="s">
        <v>67</v>
      </c>
      <c r="L92" t="s">
        <v>43</v>
      </c>
      <c r="M92">
        <v>12</v>
      </c>
    </row>
    <row r="93" spans="1:13" x14ac:dyDescent="0.3">
      <c r="A93" t="s">
        <v>409</v>
      </c>
      <c r="B93" t="s">
        <v>410</v>
      </c>
      <c r="C93" t="s">
        <v>411</v>
      </c>
      <c r="D93" t="s">
        <v>25</v>
      </c>
      <c r="E93" t="s">
        <v>60</v>
      </c>
      <c r="F93" t="s">
        <v>412</v>
      </c>
      <c r="G93" t="s">
        <v>54</v>
      </c>
      <c r="H93">
        <v>150.53805560000001</v>
      </c>
      <c r="I93" s="1">
        <v>45875.191666666666</v>
      </c>
      <c r="J93" s="1">
        <v>45881.464583333334</v>
      </c>
      <c r="K93" t="s">
        <v>49</v>
      </c>
      <c r="L93" t="s">
        <v>55</v>
      </c>
      <c r="M93">
        <v>4</v>
      </c>
    </row>
    <row r="94" spans="1:13" x14ac:dyDescent="0.3">
      <c r="A94" t="s">
        <v>413</v>
      </c>
      <c r="B94" t="s">
        <v>414</v>
      </c>
      <c r="C94" t="s">
        <v>415</v>
      </c>
      <c r="D94" t="s">
        <v>84</v>
      </c>
      <c r="E94" t="s">
        <v>41</v>
      </c>
      <c r="F94" t="s">
        <v>416</v>
      </c>
      <c r="G94" t="s">
        <v>28</v>
      </c>
      <c r="H94">
        <v>46.391111109999997</v>
      </c>
      <c r="I94" s="1">
        <v>45832.518055555556</v>
      </c>
      <c r="J94" s="1">
        <v>45834.450694444444</v>
      </c>
      <c r="K94" t="s">
        <v>87</v>
      </c>
      <c r="L94" t="s">
        <v>21</v>
      </c>
      <c r="M94">
        <v>12</v>
      </c>
    </row>
    <row r="95" spans="1:13" x14ac:dyDescent="0.3">
      <c r="A95" t="s">
        <v>417</v>
      </c>
      <c r="B95" t="s">
        <v>418</v>
      </c>
      <c r="C95" t="s">
        <v>419</v>
      </c>
      <c r="D95" t="s">
        <v>16</v>
      </c>
      <c r="E95" t="s">
        <v>41</v>
      </c>
      <c r="F95" t="s">
        <v>420</v>
      </c>
      <c r="G95" t="s">
        <v>54</v>
      </c>
      <c r="H95">
        <v>81.685555559999997</v>
      </c>
      <c r="I95" s="1">
        <v>45833.893750000003</v>
      </c>
      <c r="J95" s="1">
        <v>45837.297222222223</v>
      </c>
      <c r="K95" t="s">
        <v>49</v>
      </c>
      <c r="L95" t="s">
        <v>21</v>
      </c>
      <c r="M95">
        <v>21</v>
      </c>
    </row>
    <row r="96" spans="1:13" x14ac:dyDescent="0.3">
      <c r="A96" t="s">
        <v>421</v>
      </c>
      <c r="B96" t="s">
        <v>422</v>
      </c>
      <c r="C96" t="s">
        <v>423</v>
      </c>
      <c r="D96" t="s">
        <v>59</v>
      </c>
      <c r="E96" t="s">
        <v>79</v>
      </c>
      <c r="F96" t="s">
        <v>424</v>
      </c>
      <c r="G96" t="s">
        <v>54</v>
      </c>
      <c r="H96">
        <v>105.6091667</v>
      </c>
      <c r="I96" s="1">
        <v>45863.629166666666</v>
      </c>
      <c r="J96" s="1">
        <v>45868.029861111114</v>
      </c>
      <c r="K96" t="s">
        <v>20</v>
      </c>
      <c r="L96" t="s">
        <v>43</v>
      </c>
      <c r="M96">
        <v>15</v>
      </c>
    </row>
    <row r="97" spans="1:13" x14ac:dyDescent="0.3">
      <c r="A97" t="s">
        <v>425</v>
      </c>
      <c r="B97" t="s">
        <v>426</v>
      </c>
      <c r="C97" t="s">
        <v>427</v>
      </c>
      <c r="D97" t="s">
        <v>16</v>
      </c>
      <c r="E97" t="s">
        <v>17</v>
      </c>
      <c r="F97" t="s">
        <v>428</v>
      </c>
      <c r="G97" t="s">
        <v>28</v>
      </c>
      <c r="H97">
        <v>28.031111110000001</v>
      </c>
      <c r="I97" s="1">
        <v>45863.740972222222</v>
      </c>
      <c r="J97" s="1">
        <v>45864.90902777778</v>
      </c>
      <c r="K97" t="s">
        <v>20</v>
      </c>
      <c r="L97" t="s">
        <v>43</v>
      </c>
      <c r="M97">
        <v>17</v>
      </c>
    </row>
    <row r="98" spans="1:13" x14ac:dyDescent="0.3">
      <c r="A98" t="s">
        <v>429</v>
      </c>
      <c r="B98" t="s">
        <v>430</v>
      </c>
      <c r="C98" t="s">
        <v>431</v>
      </c>
      <c r="D98" t="s">
        <v>59</v>
      </c>
      <c r="E98" t="s">
        <v>47</v>
      </c>
      <c r="F98" t="s">
        <v>432</v>
      </c>
      <c r="G98" t="s">
        <v>54</v>
      </c>
      <c r="H98">
        <v>43.743055560000002</v>
      </c>
      <c r="I98" s="1">
        <v>45881.742361111108</v>
      </c>
      <c r="J98" s="1">
        <v>45883.56527777778</v>
      </c>
      <c r="K98" t="s">
        <v>87</v>
      </c>
      <c r="L98" t="s">
        <v>55</v>
      </c>
      <c r="M98">
        <v>17</v>
      </c>
    </row>
    <row r="99" spans="1:13" x14ac:dyDescent="0.3">
      <c r="A99" t="s">
        <v>433</v>
      </c>
      <c r="B99" t="s">
        <v>434</v>
      </c>
      <c r="C99" t="s">
        <v>435</v>
      </c>
      <c r="D99" t="s">
        <v>40</v>
      </c>
      <c r="E99" t="s">
        <v>60</v>
      </c>
      <c r="F99" t="s">
        <v>436</v>
      </c>
      <c r="G99" t="s">
        <v>54</v>
      </c>
      <c r="H99">
        <v>160.21083329999999</v>
      </c>
      <c r="I99" s="1">
        <v>45863.886111111111</v>
      </c>
      <c r="J99" s="1">
        <v>45870.561111111114</v>
      </c>
      <c r="K99" t="s">
        <v>20</v>
      </c>
      <c r="L99" t="s">
        <v>43</v>
      </c>
      <c r="M99">
        <v>21</v>
      </c>
    </row>
    <row r="100" spans="1:13" x14ac:dyDescent="0.3">
      <c r="A100" t="s">
        <v>437</v>
      </c>
      <c r="B100" t="s">
        <v>438</v>
      </c>
      <c r="C100" t="s">
        <v>439</v>
      </c>
      <c r="D100" t="s">
        <v>25</v>
      </c>
      <c r="E100" t="s">
        <v>26</v>
      </c>
      <c r="F100" t="s">
        <v>440</v>
      </c>
      <c r="G100" t="s">
        <v>19</v>
      </c>
      <c r="H100">
        <v>3.0616666669999999</v>
      </c>
      <c r="I100" s="1">
        <v>45914.806944444441</v>
      </c>
      <c r="J100" s="1">
        <v>45914.93472222222</v>
      </c>
      <c r="K100" t="s">
        <v>134</v>
      </c>
      <c r="L100" t="s">
        <v>30</v>
      </c>
      <c r="M100">
        <v>19</v>
      </c>
    </row>
    <row r="101" spans="1:13" x14ac:dyDescent="0.3">
      <c r="A101" t="s">
        <v>441</v>
      </c>
      <c r="B101" t="s">
        <v>442</v>
      </c>
      <c r="C101" t="s">
        <v>443</v>
      </c>
      <c r="D101" t="s">
        <v>40</v>
      </c>
      <c r="E101" t="s">
        <v>47</v>
      </c>
      <c r="F101" t="s">
        <v>444</v>
      </c>
      <c r="G101" t="s">
        <v>28</v>
      </c>
      <c r="H101">
        <v>8.8113888889999998</v>
      </c>
      <c r="I101" s="1">
        <v>45869.010416666664</v>
      </c>
      <c r="J101" s="1">
        <v>45869.37777777778</v>
      </c>
      <c r="K101" t="s">
        <v>36</v>
      </c>
      <c r="L101" t="s">
        <v>43</v>
      </c>
      <c r="M101">
        <v>0</v>
      </c>
    </row>
    <row r="102" spans="1:13" x14ac:dyDescent="0.3">
      <c r="A102" t="s">
        <v>445</v>
      </c>
      <c r="B102" t="s">
        <v>446</v>
      </c>
      <c r="C102" t="s">
        <v>447</v>
      </c>
      <c r="D102" t="s">
        <v>25</v>
      </c>
      <c r="E102" t="s">
        <v>60</v>
      </c>
      <c r="F102" t="s">
        <v>448</v>
      </c>
      <c r="G102" t="s">
        <v>220</v>
      </c>
      <c r="H102">
        <v>2.0686111110000001</v>
      </c>
      <c r="I102" s="1">
        <v>45886.550694444442</v>
      </c>
      <c r="J102" s="1">
        <v>45886.636805555558</v>
      </c>
      <c r="K102" t="s">
        <v>134</v>
      </c>
      <c r="L102" t="s">
        <v>55</v>
      </c>
      <c r="M102">
        <v>13</v>
      </c>
    </row>
    <row r="103" spans="1:13" x14ac:dyDescent="0.3">
      <c r="A103" t="s">
        <v>449</v>
      </c>
      <c r="B103" t="s">
        <v>450</v>
      </c>
      <c r="C103" t="s">
        <v>451</v>
      </c>
      <c r="D103" t="s">
        <v>25</v>
      </c>
      <c r="E103" t="s">
        <v>79</v>
      </c>
      <c r="F103" t="s">
        <v>452</v>
      </c>
      <c r="G103" t="s">
        <v>28</v>
      </c>
      <c r="H103">
        <v>41.605277780000002</v>
      </c>
      <c r="I103" s="1">
        <v>45911.538194444445</v>
      </c>
      <c r="J103" s="1">
        <v>45913.271527777775</v>
      </c>
      <c r="K103" t="s">
        <v>36</v>
      </c>
      <c r="L103" t="s">
        <v>30</v>
      </c>
      <c r="M103">
        <v>12</v>
      </c>
    </row>
    <row r="104" spans="1:13" x14ac:dyDescent="0.3">
      <c r="A104" t="s">
        <v>453</v>
      </c>
      <c r="B104" t="s">
        <v>454</v>
      </c>
      <c r="C104" t="s">
        <v>455</v>
      </c>
      <c r="D104" t="s">
        <v>16</v>
      </c>
      <c r="E104" t="s">
        <v>60</v>
      </c>
      <c r="F104" t="s">
        <v>456</v>
      </c>
      <c r="G104" t="s">
        <v>54</v>
      </c>
      <c r="H104">
        <v>26.52305556</v>
      </c>
      <c r="I104" s="1">
        <v>45839.367361111108</v>
      </c>
      <c r="J104" s="1">
        <v>45840.472222222219</v>
      </c>
      <c r="K104" t="s">
        <v>87</v>
      </c>
      <c r="L104" t="s">
        <v>43</v>
      </c>
      <c r="M104">
        <v>8</v>
      </c>
    </row>
    <row r="105" spans="1:13" x14ac:dyDescent="0.3">
      <c r="A105" t="s">
        <v>457</v>
      </c>
      <c r="B105" t="s">
        <v>458</v>
      </c>
      <c r="C105" t="s">
        <v>459</v>
      </c>
      <c r="D105" t="s">
        <v>25</v>
      </c>
      <c r="E105" t="s">
        <v>103</v>
      </c>
      <c r="F105" t="s">
        <v>460</v>
      </c>
      <c r="G105" t="s">
        <v>28</v>
      </c>
      <c r="H105">
        <v>11.395</v>
      </c>
      <c r="I105" s="1">
        <v>45833.941666666666</v>
      </c>
      <c r="J105" s="1">
        <v>45834.415972222225</v>
      </c>
      <c r="K105" t="s">
        <v>49</v>
      </c>
      <c r="L105" t="s">
        <v>21</v>
      </c>
      <c r="M105">
        <v>22</v>
      </c>
    </row>
    <row r="106" spans="1:13" x14ac:dyDescent="0.3">
      <c r="A106" t="s">
        <v>461</v>
      </c>
      <c r="B106" t="s">
        <v>462</v>
      </c>
      <c r="C106" t="s">
        <v>463</v>
      </c>
      <c r="D106" t="s">
        <v>154</v>
      </c>
      <c r="E106" t="s">
        <v>103</v>
      </c>
      <c r="F106" t="s">
        <v>464</v>
      </c>
      <c r="G106" t="s">
        <v>19</v>
      </c>
      <c r="H106">
        <v>4.2905555550000001</v>
      </c>
      <c r="I106" s="1">
        <v>45906.263194444444</v>
      </c>
      <c r="J106" s="1">
        <v>45906.441666666666</v>
      </c>
      <c r="K106" t="s">
        <v>67</v>
      </c>
      <c r="L106" t="s">
        <v>30</v>
      </c>
      <c r="M106">
        <v>6</v>
      </c>
    </row>
    <row r="107" spans="1:13" x14ac:dyDescent="0.3">
      <c r="A107" t="s">
        <v>465</v>
      </c>
      <c r="B107" t="s">
        <v>466</v>
      </c>
      <c r="C107" t="s">
        <v>467</v>
      </c>
      <c r="D107" t="s">
        <v>84</v>
      </c>
      <c r="E107" t="s">
        <v>85</v>
      </c>
      <c r="F107" t="s">
        <v>468</v>
      </c>
      <c r="G107" t="s">
        <v>54</v>
      </c>
      <c r="H107">
        <v>57.938055560000002</v>
      </c>
      <c r="I107" s="1">
        <v>45872.28125</v>
      </c>
      <c r="J107" s="1">
        <v>45874.695138888892</v>
      </c>
      <c r="K107" t="s">
        <v>134</v>
      </c>
      <c r="L107" t="s">
        <v>55</v>
      </c>
      <c r="M107">
        <v>6</v>
      </c>
    </row>
    <row r="108" spans="1:13" x14ac:dyDescent="0.3">
      <c r="A108" t="s">
        <v>469</v>
      </c>
      <c r="B108" t="s">
        <v>470</v>
      </c>
      <c r="C108" t="s">
        <v>471</v>
      </c>
      <c r="D108" t="s">
        <v>154</v>
      </c>
      <c r="E108" t="s">
        <v>34</v>
      </c>
      <c r="F108" t="s">
        <v>472</v>
      </c>
      <c r="G108" t="s">
        <v>28</v>
      </c>
      <c r="H108">
        <v>30.193333330000002</v>
      </c>
      <c r="I108" s="1">
        <v>45886.512499999997</v>
      </c>
      <c r="J108" s="1">
        <v>45887.770138888889</v>
      </c>
      <c r="K108" t="s">
        <v>134</v>
      </c>
      <c r="L108" t="s">
        <v>55</v>
      </c>
      <c r="M108">
        <v>12</v>
      </c>
    </row>
    <row r="109" spans="1:13" x14ac:dyDescent="0.3">
      <c r="A109" t="s">
        <v>473</v>
      </c>
      <c r="B109" t="s">
        <v>474</v>
      </c>
      <c r="C109" t="s">
        <v>475</v>
      </c>
      <c r="D109" t="s">
        <v>40</v>
      </c>
      <c r="E109" t="s">
        <v>26</v>
      </c>
      <c r="F109" t="s">
        <v>476</v>
      </c>
      <c r="G109" t="s">
        <v>54</v>
      </c>
      <c r="H109">
        <v>65.283333330000005</v>
      </c>
      <c r="I109" s="1">
        <v>45866.620833333334</v>
      </c>
      <c r="J109" s="1">
        <v>45869.34097222222</v>
      </c>
      <c r="K109" t="s">
        <v>29</v>
      </c>
      <c r="L109" t="s">
        <v>43</v>
      </c>
      <c r="M109">
        <v>14</v>
      </c>
    </row>
    <row r="110" spans="1:13" x14ac:dyDescent="0.3">
      <c r="A110" t="s">
        <v>477</v>
      </c>
      <c r="B110" t="s">
        <v>478</v>
      </c>
      <c r="C110" t="s">
        <v>479</v>
      </c>
      <c r="D110" t="s">
        <v>40</v>
      </c>
      <c r="E110" t="s">
        <v>34</v>
      </c>
      <c r="F110" t="s">
        <v>480</v>
      </c>
      <c r="G110" t="s">
        <v>19</v>
      </c>
      <c r="H110">
        <v>4.9788888890000003</v>
      </c>
      <c r="I110" s="1">
        <v>45850.289583333331</v>
      </c>
      <c r="J110" s="1">
        <v>45850.49722222222</v>
      </c>
      <c r="K110" t="s">
        <v>67</v>
      </c>
      <c r="L110" t="s">
        <v>43</v>
      </c>
      <c r="M110">
        <v>6</v>
      </c>
    </row>
    <row r="111" spans="1:13" x14ac:dyDescent="0.3">
      <c r="A111" t="s">
        <v>481</v>
      </c>
      <c r="B111" t="s">
        <v>482</v>
      </c>
      <c r="C111" t="s">
        <v>483</v>
      </c>
      <c r="D111" t="s">
        <v>25</v>
      </c>
      <c r="E111" t="s">
        <v>34</v>
      </c>
      <c r="F111" t="s">
        <v>484</v>
      </c>
      <c r="G111" t="s">
        <v>54</v>
      </c>
      <c r="H111">
        <v>166.00638889999999</v>
      </c>
      <c r="I111" s="1">
        <v>45851.01666666667</v>
      </c>
      <c r="J111" s="1">
        <v>45857.933333333334</v>
      </c>
      <c r="K111" t="s">
        <v>134</v>
      </c>
      <c r="L111" t="s">
        <v>43</v>
      </c>
      <c r="M111">
        <v>0</v>
      </c>
    </row>
    <row r="112" spans="1:13" x14ac:dyDescent="0.3">
      <c r="A112" t="s">
        <v>485</v>
      </c>
      <c r="B112" t="s">
        <v>486</v>
      </c>
      <c r="C112" t="s">
        <v>487</v>
      </c>
      <c r="D112" t="s">
        <v>59</v>
      </c>
      <c r="E112" t="s">
        <v>79</v>
      </c>
      <c r="F112" t="s">
        <v>488</v>
      </c>
      <c r="G112" t="s">
        <v>19</v>
      </c>
      <c r="H112">
        <v>6.6577777779999998</v>
      </c>
      <c r="I112" s="1">
        <v>45852.24722222222</v>
      </c>
      <c r="J112" s="1">
        <v>45852.524305555555</v>
      </c>
      <c r="K112" t="s">
        <v>29</v>
      </c>
      <c r="L112" t="s">
        <v>43</v>
      </c>
      <c r="M112">
        <v>5</v>
      </c>
    </row>
    <row r="113" spans="1:13" x14ac:dyDescent="0.3">
      <c r="A113" t="s">
        <v>489</v>
      </c>
      <c r="B113" t="s">
        <v>490</v>
      </c>
      <c r="C113" t="s">
        <v>491</v>
      </c>
      <c r="D113" t="s">
        <v>25</v>
      </c>
      <c r="E113" t="s">
        <v>34</v>
      </c>
      <c r="F113" t="s">
        <v>492</v>
      </c>
      <c r="G113" t="s">
        <v>54</v>
      </c>
      <c r="H113">
        <v>167.1716667</v>
      </c>
      <c r="I113" s="1">
        <v>45897.478472222225</v>
      </c>
      <c r="J113" s="1">
        <v>45904.444444444445</v>
      </c>
      <c r="K113" t="s">
        <v>36</v>
      </c>
      <c r="L113" t="s">
        <v>55</v>
      </c>
      <c r="M113">
        <v>11</v>
      </c>
    </row>
    <row r="114" spans="1:13" x14ac:dyDescent="0.3">
      <c r="A114" t="s">
        <v>493</v>
      </c>
      <c r="B114" t="s">
        <v>494</v>
      </c>
      <c r="C114" t="s">
        <v>495</v>
      </c>
      <c r="D114" t="s">
        <v>112</v>
      </c>
      <c r="E114" t="s">
        <v>26</v>
      </c>
      <c r="F114" t="s">
        <v>496</v>
      </c>
      <c r="G114" t="s">
        <v>54</v>
      </c>
      <c r="H114">
        <v>116.64555559999999</v>
      </c>
      <c r="I114" s="1">
        <v>45897.334722222222</v>
      </c>
      <c r="J114" s="1">
        <v>45902.194444444445</v>
      </c>
      <c r="K114" t="s">
        <v>36</v>
      </c>
      <c r="L114" t="s">
        <v>55</v>
      </c>
      <c r="M114">
        <v>8</v>
      </c>
    </row>
    <row r="115" spans="1:13" x14ac:dyDescent="0.3">
      <c r="A115" t="s">
        <v>497</v>
      </c>
      <c r="B115" t="s">
        <v>498</v>
      </c>
      <c r="C115" t="s">
        <v>499</v>
      </c>
      <c r="D115" t="s">
        <v>40</v>
      </c>
      <c r="E115" t="s">
        <v>41</v>
      </c>
      <c r="F115" t="s">
        <v>500</v>
      </c>
      <c r="G115" t="s">
        <v>19</v>
      </c>
      <c r="H115">
        <v>2.1963888890000001</v>
      </c>
      <c r="I115" s="1">
        <v>45889.47152777778</v>
      </c>
      <c r="J115" s="1">
        <v>45889.563194444447</v>
      </c>
      <c r="K115" t="s">
        <v>49</v>
      </c>
      <c r="L115" t="s">
        <v>55</v>
      </c>
      <c r="M115">
        <v>11</v>
      </c>
    </row>
    <row r="116" spans="1:13" x14ac:dyDescent="0.3">
      <c r="A116" t="s">
        <v>501</v>
      </c>
      <c r="B116" t="s">
        <v>502</v>
      </c>
      <c r="C116" t="s">
        <v>503</v>
      </c>
      <c r="D116" t="s">
        <v>16</v>
      </c>
      <c r="E116" t="s">
        <v>47</v>
      </c>
      <c r="F116" t="s">
        <v>504</v>
      </c>
      <c r="G116" t="s">
        <v>28</v>
      </c>
      <c r="H116">
        <v>14.47027778</v>
      </c>
      <c r="I116" s="1">
        <v>45834.277083333334</v>
      </c>
      <c r="J116" s="1">
        <v>45834.879861111112</v>
      </c>
      <c r="K116" t="s">
        <v>36</v>
      </c>
      <c r="L116" t="s">
        <v>21</v>
      </c>
      <c r="M116">
        <v>6</v>
      </c>
    </row>
    <row r="117" spans="1:13" x14ac:dyDescent="0.3">
      <c r="A117" t="s">
        <v>505</v>
      </c>
      <c r="B117" t="s">
        <v>506</v>
      </c>
      <c r="C117" t="s">
        <v>507</v>
      </c>
      <c r="D117" t="s">
        <v>59</v>
      </c>
      <c r="E117" t="s">
        <v>103</v>
      </c>
      <c r="F117" t="s">
        <v>508</v>
      </c>
      <c r="G117" t="s">
        <v>54</v>
      </c>
      <c r="H117">
        <v>113.80861109999999</v>
      </c>
      <c r="I117" s="1">
        <v>45904.001388888886</v>
      </c>
      <c r="J117" s="1">
        <v>45908.743055555555</v>
      </c>
      <c r="K117" t="s">
        <v>36</v>
      </c>
      <c r="L117" t="s">
        <v>30</v>
      </c>
      <c r="M117">
        <v>0</v>
      </c>
    </row>
    <row r="118" spans="1:13" x14ac:dyDescent="0.3">
      <c r="A118" t="s">
        <v>509</v>
      </c>
      <c r="B118" t="s">
        <v>510</v>
      </c>
      <c r="C118" t="s">
        <v>511</v>
      </c>
      <c r="D118" t="s">
        <v>25</v>
      </c>
      <c r="E118" t="s">
        <v>34</v>
      </c>
      <c r="F118" t="s">
        <v>512</v>
      </c>
      <c r="G118" t="s">
        <v>28</v>
      </c>
      <c r="H118">
        <v>32.350555559999997</v>
      </c>
      <c r="I118" s="1">
        <v>45852.145138888889</v>
      </c>
      <c r="J118" s="1">
        <v>45853.493055555555</v>
      </c>
      <c r="K118" t="s">
        <v>29</v>
      </c>
      <c r="L118" t="s">
        <v>43</v>
      </c>
      <c r="M118">
        <v>3</v>
      </c>
    </row>
    <row r="119" spans="1:13" x14ac:dyDescent="0.3">
      <c r="A119" t="s">
        <v>513</v>
      </c>
      <c r="B119" t="s">
        <v>514</v>
      </c>
      <c r="C119" t="s">
        <v>515</v>
      </c>
      <c r="D119" t="s">
        <v>59</v>
      </c>
      <c r="E119" t="s">
        <v>85</v>
      </c>
      <c r="F119" t="s">
        <v>516</v>
      </c>
      <c r="G119" t="s">
        <v>28</v>
      </c>
      <c r="H119">
        <v>43.645277780000001</v>
      </c>
      <c r="I119" s="1">
        <v>45862.277777777781</v>
      </c>
      <c r="J119" s="1">
        <v>45864.095833333333</v>
      </c>
      <c r="K119" t="s">
        <v>36</v>
      </c>
      <c r="L119" t="s">
        <v>43</v>
      </c>
      <c r="M119">
        <v>6</v>
      </c>
    </row>
    <row r="120" spans="1:13" x14ac:dyDescent="0.3">
      <c r="A120" t="s">
        <v>517</v>
      </c>
      <c r="B120" t="s">
        <v>518</v>
      </c>
      <c r="C120" t="s">
        <v>519</v>
      </c>
      <c r="D120" t="s">
        <v>154</v>
      </c>
      <c r="E120" t="s">
        <v>60</v>
      </c>
      <c r="F120" t="s">
        <v>520</v>
      </c>
      <c r="G120" t="s">
        <v>54</v>
      </c>
      <c r="H120">
        <v>158.29277780000001</v>
      </c>
      <c r="I120" s="1">
        <v>45872.945833333331</v>
      </c>
      <c r="J120" s="1">
        <v>45879.540972222225</v>
      </c>
      <c r="K120" t="s">
        <v>134</v>
      </c>
      <c r="L120" t="s">
        <v>55</v>
      </c>
      <c r="M120">
        <v>22</v>
      </c>
    </row>
    <row r="121" spans="1:13" x14ac:dyDescent="0.3">
      <c r="A121" t="s">
        <v>521</v>
      </c>
      <c r="B121" t="s">
        <v>522</v>
      </c>
      <c r="C121" t="s">
        <v>523</v>
      </c>
      <c r="D121" t="s">
        <v>40</v>
      </c>
      <c r="E121" t="s">
        <v>26</v>
      </c>
      <c r="F121" t="s">
        <v>524</v>
      </c>
      <c r="G121" t="s">
        <v>28</v>
      </c>
      <c r="H121">
        <v>18.82833333</v>
      </c>
      <c r="I121" s="1">
        <v>45850.010416666664</v>
      </c>
      <c r="J121" s="1">
        <v>45850.795138888891</v>
      </c>
      <c r="K121" t="s">
        <v>67</v>
      </c>
      <c r="L121" t="s">
        <v>43</v>
      </c>
      <c r="M121">
        <v>0</v>
      </c>
    </row>
    <row r="122" spans="1:13" x14ac:dyDescent="0.3">
      <c r="A122" t="s">
        <v>525</v>
      </c>
      <c r="B122" t="s">
        <v>526</v>
      </c>
      <c r="C122" t="s">
        <v>527</v>
      </c>
      <c r="D122" t="s">
        <v>16</v>
      </c>
      <c r="E122" t="s">
        <v>47</v>
      </c>
      <c r="F122" t="s">
        <v>528</v>
      </c>
      <c r="G122" t="s">
        <v>28</v>
      </c>
      <c r="H122">
        <v>18.383888890000001</v>
      </c>
      <c r="I122" s="1">
        <v>45857.543055555558</v>
      </c>
      <c r="J122" s="1">
        <v>45858.309027777781</v>
      </c>
      <c r="K122" t="s">
        <v>67</v>
      </c>
      <c r="L122" t="s">
        <v>43</v>
      </c>
      <c r="M122">
        <v>13</v>
      </c>
    </row>
    <row r="123" spans="1:13" x14ac:dyDescent="0.3">
      <c r="A123" t="s">
        <v>529</v>
      </c>
      <c r="B123" t="s">
        <v>530</v>
      </c>
      <c r="C123" t="s">
        <v>531</v>
      </c>
      <c r="D123" t="s">
        <v>59</v>
      </c>
      <c r="E123" t="s">
        <v>79</v>
      </c>
      <c r="F123" t="s">
        <v>532</v>
      </c>
      <c r="G123" t="s">
        <v>28</v>
      </c>
      <c r="H123">
        <v>14.38722222</v>
      </c>
      <c r="I123" s="1">
        <v>45837.838888888888</v>
      </c>
      <c r="J123" s="1">
        <v>45838.438194444447</v>
      </c>
      <c r="K123" t="s">
        <v>134</v>
      </c>
      <c r="L123" t="s">
        <v>21</v>
      </c>
      <c r="M123">
        <v>20</v>
      </c>
    </row>
    <row r="124" spans="1:13" x14ac:dyDescent="0.3">
      <c r="A124" t="s">
        <v>533</v>
      </c>
      <c r="B124" t="s">
        <v>534</v>
      </c>
      <c r="C124" t="s">
        <v>535</v>
      </c>
      <c r="D124" t="s">
        <v>25</v>
      </c>
      <c r="E124" t="s">
        <v>17</v>
      </c>
      <c r="F124" t="s">
        <v>536</v>
      </c>
      <c r="G124" t="s">
        <v>28</v>
      </c>
      <c r="H124">
        <v>18.57527778</v>
      </c>
      <c r="I124" s="1">
        <v>45867.618055555555</v>
      </c>
      <c r="J124" s="1">
        <v>45868.39166666667</v>
      </c>
      <c r="K124" t="s">
        <v>87</v>
      </c>
      <c r="L124" t="s">
        <v>43</v>
      </c>
      <c r="M124">
        <v>14</v>
      </c>
    </row>
    <row r="125" spans="1:13" x14ac:dyDescent="0.3">
      <c r="A125" t="s">
        <v>537</v>
      </c>
      <c r="B125" t="s">
        <v>538</v>
      </c>
      <c r="C125" t="s">
        <v>539</v>
      </c>
      <c r="D125" t="s">
        <v>84</v>
      </c>
      <c r="E125" t="s">
        <v>26</v>
      </c>
      <c r="F125" t="s">
        <v>540</v>
      </c>
      <c r="G125" t="s">
        <v>28</v>
      </c>
      <c r="H125">
        <v>41.916944440000002</v>
      </c>
      <c r="I125" s="1">
        <v>45888.049305555556</v>
      </c>
      <c r="J125" s="1">
        <v>45889.79583333333</v>
      </c>
      <c r="K125" t="s">
        <v>87</v>
      </c>
      <c r="L125" t="s">
        <v>55</v>
      </c>
      <c r="M125">
        <v>1</v>
      </c>
    </row>
    <row r="126" spans="1:13" x14ac:dyDescent="0.3">
      <c r="A126" t="s">
        <v>541</v>
      </c>
      <c r="B126" t="s">
        <v>542</v>
      </c>
      <c r="C126" t="s">
        <v>543</v>
      </c>
      <c r="D126" t="s">
        <v>154</v>
      </c>
      <c r="E126" t="s">
        <v>103</v>
      </c>
      <c r="F126" t="s">
        <v>544</v>
      </c>
      <c r="G126" t="s">
        <v>28</v>
      </c>
      <c r="H126">
        <v>12.70944444</v>
      </c>
      <c r="I126" s="1">
        <v>45833.252083333333</v>
      </c>
      <c r="J126" s="1">
        <v>45833.781944444447</v>
      </c>
      <c r="K126" t="s">
        <v>49</v>
      </c>
      <c r="L126" t="s">
        <v>21</v>
      </c>
      <c r="M126">
        <v>6</v>
      </c>
    </row>
    <row r="127" spans="1:13" x14ac:dyDescent="0.3">
      <c r="A127" t="s">
        <v>545</v>
      </c>
      <c r="B127" t="s">
        <v>546</v>
      </c>
      <c r="C127" t="s">
        <v>547</v>
      </c>
      <c r="D127" t="s">
        <v>154</v>
      </c>
      <c r="E127" t="s">
        <v>41</v>
      </c>
      <c r="F127" t="s">
        <v>548</v>
      </c>
      <c r="G127" t="s">
        <v>28</v>
      </c>
      <c r="H127">
        <v>17.72361111</v>
      </c>
      <c r="I127" s="1">
        <v>45871.768750000003</v>
      </c>
      <c r="J127" s="1">
        <v>45872.507638888892</v>
      </c>
      <c r="K127" t="s">
        <v>67</v>
      </c>
      <c r="L127" t="s">
        <v>55</v>
      </c>
      <c r="M127">
        <v>18</v>
      </c>
    </row>
    <row r="128" spans="1:13" x14ac:dyDescent="0.3">
      <c r="A128" t="s">
        <v>549</v>
      </c>
      <c r="B128" t="s">
        <v>550</v>
      </c>
      <c r="C128" t="s">
        <v>551</v>
      </c>
      <c r="D128" t="s">
        <v>40</v>
      </c>
      <c r="E128" t="s">
        <v>60</v>
      </c>
      <c r="F128" t="s">
        <v>552</v>
      </c>
      <c r="G128" t="s">
        <v>54</v>
      </c>
      <c r="H128">
        <v>94.7</v>
      </c>
      <c r="I128" s="1">
        <v>45895.015277777777</v>
      </c>
      <c r="J128" s="1">
        <v>45898.961111111108</v>
      </c>
      <c r="K128" t="s">
        <v>87</v>
      </c>
      <c r="L128" t="s">
        <v>55</v>
      </c>
      <c r="M128">
        <v>0</v>
      </c>
    </row>
    <row r="129" spans="1:13" x14ac:dyDescent="0.3">
      <c r="A129" t="s">
        <v>553</v>
      </c>
      <c r="B129" t="s">
        <v>554</v>
      </c>
      <c r="C129" t="s">
        <v>555</v>
      </c>
      <c r="D129" t="s">
        <v>25</v>
      </c>
      <c r="E129" t="s">
        <v>103</v>
      </c>
      <c r="F129" t="s">
        <v>556</v>
      </c>
      <c r="G129" t="s">
        <v>54</v>
      </c>
      <c r="H129">
        <v>106.0036111</v>
      </c>
      <c r="I129" s="1">
        <v>45855.640972222223</v>
      </c>
      <c r="J129" s="1">
        <v>45860.057638888888</v>
      </c>
      <c r="K129" t="s">
        <v>36</v>
      </c>
      <c r="L129" t="s">
        <v>43</v>
      </c>
      <c r="M129">
        <v>15</v>
      </c>
    </row>
    <row r="130" spans="1:13" x14ac:dyDescent="0.3">
      <c r="A130" t="s">
        <v>557</v>
      </c>
      <c r="B130" t="s">
        <v>558</v>
      </c>
      <c r="C130" t="s">
        <v>559</v>
      </c>
      <c r="D130" t="s">
        <v>84</v>
      </c>
      <c r="E130" t="s">
        <v>34</v>
      </c>
      <c r="F130" t="s">
        <v>560</v>
      </c>
      <c r="G130" t="s">
        <v>19</v>
      </c>
      <c r="H130">
        <v>8.2744444440000002</v>
      </c>
      <c r="I130" s="1">
        <v>45909.709722222222</v>
      </c>
      <c r="J130" s="1">
        <v>45910.054166666669</v>
      </c>
      <c r="K130" t="s">
        <v>87</v>
      </c>
      <c r="L130" t="s">
        <v>30</v>
      </c>
      <c r="M130">
        <v>17</v>
      </c>
    </row>
    <row r="131" spans="1:13" x14ac:dyDescent="0.3">
      <c r="A131" t="s">
        <v>561</v>
      </c>
      <c r="B131" t="s">
        <v>562</v>
      </c>
      <c r="C131" t="s">
        <v>563</v>
      </c>
      <c r="D131" t="s">
        <v>16</v>
      </c>
      <c r="E131" t="s">
        <v>26</v>
      </c>
      <c r="F131" t="s">
        <v>564</v>
      </c>
      <c r="G131" t="s">
        <v>28</v>
      </c>
      <c r="H131">
        <v>46.645833330000002</v>
      </c>
      <c r="I131" s="1">
        <v>45906.729166666664</v>
      </c>
      <c r="J131" s="1">
        <v>45908.67291666667</v>
      </c>
      <c r="K131" t="s">
        <v>67</v>
      </c>
      <c r="L131" t="s">
        <v>30</v>
      </c>
      <c r="M131">
        <v>17</v>
      </c>
    </row>
    <row r="132" spans="1:13" x14ac:dyDescent="0.3">
      <c r="A132" t="s">
        <v>565</v>
      </c>
      <c r="B132" t="s">
        <v>566</v>
      </c>
      <c r="C132" t="s">
        <v>567</v>
      </c>
      <c r="D132" t="s">
        <v>154</v>
      </c>
      <c r="E132" t="s">
        <v>65</v>
      </c>
      <c r="F132" t="s">
        <v>568</v>
      </c>
      <c r="G132" t="s">
        <v>54</v>
      </c>
      <c r="H132">
        <v>43.714722219999999</v>
      </c>
      <c r="I132" s="1">
        <v>45910.870833333334</v>
      </c>
      <c r="J132" s="1">
        <v>45912.692361111112</v>
      </c>
      <c r="K132" t="s">
        <v>49</v>
      </c>
      <c r="L132" t="s">
        <v>30</v>
      </c>
      <c r="M132">
        <v>20</v>
      </c>
    </row>
    <row r="133" spans="1:13" x14ac:dyDescent="0.3">
      <c r="A133" t="s">
        <v>569</v>
      </c>
      <c r="B133" t="s">
        <v>570</v>
      </c>
      <c r="C133" t="s">
        <v>571</v>
      </c>
      <c r="D133" t="s">
        <v>154</v>
      </c>
      <c r="E133" t="s">
        <v>34</v>
      </c>
      <c r="F133" t="s">
        <v>572</v>
      </c>
      <c r="G133" t="s">
        <v>54</v>
      </c>
      <c r="H133">
        <v>92.843333329999993</v>
      </c>
      <c r="I133" s="1">
        <v>45879.520138888889</v>
      </c>
      <c r="J133" s="1">
        <v>45883.388888888891</v>
      </c>
      <c r="K133" t="s">
        <v>134</v>
      </c>
      <c r="L133" t="s">
        <v>55</v>
      </c>
      <c r="M133">
        <v>12</v>
      </c>
    </row>
    <row r="134" spans="1:13" x14ac:dyDescent="0.3">
      <c r="A134" t="s">
        <v>573</v>
      </c>
      <c r="B134" t="s">
        <v>574</v>
      </c>
      <c r="C134" t="s">
        <v>575</v>
      </c>
      <c r="D134" t="s">
        <v>16</v>
      </c>
      <c r="E134" t="s">
        <v>79</v>
      </c>
      <c r="F134" t="s">
        <v>576</v>
      </c>
      <c r="G134" t="s">
        <v>54</v>
      </c>
      <c r="H134">
        <v>83.458611110000007</v>
      </c>
      <c r="I134" s="1">
        <v>45907.109722222223</v>
      </c>
      <c r="J134" s="1">
        <v>45910.586805555555</v>
      </c>
      <c r="K134" t="s">
        <v>134</v>
      </c>
      <c r="L134" t="s">
        <v>30</v>
      </c>
      <c r="M134">
        <v>2</v>
      </c>
    </row>
    <row r="135" spans="1:13" x14ac:dyDescent="0.3">
      <c r="A135" t="s">
        <v>577</v>
      </c>
      <c r="B135" t="s">
        <v>578</v>
      </c>
      <c r="C135" t="s">
        <v>579</v>
      </c>
      <c r="D135" t="s">
        <v>59</v>
      </c>
      <c r="E135" t="s">
        <v>41</v>
      </c>
      <c r="F135" t="s">
        <v>580</v>
      </c>
      <c r="G135" t="s">
        <v>19</v>
      </c>
      <c r="H135">
        <v>9.9666666670000001</v>
      </c>
      <c r="I135" s="1">
        <v>45859.296527777777</v>
      </c>
      <c r="J135" s="1">
        <v>45859.711805555555</v>
      </c>
      <c r="K135" t="s">
        <v>29</v>
      </c>
      <c r="L135" t="s">
        <v>43</v>
      </c>
      <c r="M135">
        <v>7</v>
      </c>
    </row>
    <row r="136" spans="1:13" x14ac:dyDescent="0.3">
      <c r="A136" t="s">
        <v>581</v>
      </c>
      <c r="B136" t="s">
        <v>582</v>
      </c>
      <c r="C136" t="s">
        <v>583</v>
      </c>
      <c r="D136" t="s">
        <v>16</v>
      </c>
      <c r="E136" t="s">
        <v>60</v>
      </c>
      <c r="F136" t="s">
        <v>584</v>
      </c>
      <c r="G136" t="s">
        <v>54</v>
      </c>
      <c r="H136">
        <v>167.59666669999999</v>
      </c>
      <c r="I136" s="1">
        <v>45884.043055555558</v>
      </c>
      <c r="J136" s="1">
        <v>45891.026388888888</v>
      </c>
      <c r="K136" t="s">
        <v>20</v>
      </c>
      <c r="L136" t="s">
        <v>55</v>
      </c>
      <c r="M136">
        <v>1</v>
      </c>
    </row>
    <row r="137" spans="1:13" x14ac:dyDescent="0.3">
      <c r="A137" t="s">
        <v>585</v>
      </c>
      <c r="B137" t="s">
        <v>586</v>
      </c>
      <c r="C137" t="s">
        <v>587</v>
      </c>
      <c r="D137" t="s">
        <v>112</v>
      </c>
      <c r="E137" t="s">
        <v>65</v>
      </c>
      <c r="F137" t="s">
        <v>588</v>
      </c>
      <c r="G137" t="s">
        <v>54</v>
      </c>
      <c r="H137">
        <v>114.81638890000001</v>
      </c>
      <c r="I137" s="1">
        <v>45832.247916666667</v>
      </c>
      <c r="J137" s="1">
        <v>45837.031944444447</v>
      </c>
      <c r="K137" t="s">
        <v>87</v>
      </c>
      <c r="L137" t="s">
        <v>21</v>
      </c>
      <c r="M137">
        <v>5</v>
      </c>
    </row>
    <row r="138" spans="1:13" x14ac:dyDescent="0.3">
      <c r="A138" t="s">
        <v>589</v>
      </c>
      <c r="B138" t="s">
        <v>590</v>
      </c>
      <c r="C138" t="s">
        <v>591</v>
      </c>
      <c r="D138" t="s">
        <v>40</v>
      </c>
      <c r="E138" t="s">
        <v>65</v>
      </c>
      <c r="F138" t="s">
        <v>592</v>
      </c>
      <c r="G138" t="s">
        <v>54</v>
      </c>
      <c r="H138">
        <v>77.951388890000004</v>
      </c>
      <c r="I138" s="1">
        <v>45914.743055555555</v>
      </c>
      <c r="J138" s="1">
        <v>45917.990972222222</v>
      </c>
      <c r="K138" t="s">
        <v>134</v>
      </c>
      <c r="L138" t="s">
        <v>30</v>
      </c>
      <c r="M138">
        <v>17</v>
      </c>
    </row>
    <row r="139" spans="1:13" x14ac:dyDescent="0.3">
      <c r="A139" t="s">
        <v>593</v>
      </c>
      <c r="B139" t="s">
        <v>594</v>
      </c>
      <c r="C139" t="s">
        <v>595</v>
      </c>
      <c r="D139" t="s">
        <v>40</v>
      </c>
      <c r="E139" t="s">
        <v>26</v>
      </c>
      <c r="F139" t="s">
        <v>596</v>
      </c>
      <c r="G139" t="s">
        <v>54</v>
      </c>
      <c r="H139">
        <v>38.037500000000001</v>
      </c>
      <c r="I139" s="1">
        <v>45837.384722222225</v>
      </c>
      <c r="J139" s="1">
        <v>45838.969444444447</v>
      </c>
      <c r="K139" t="s">
        <v>134</v>
      </c>
      <c r="L139" t="s">
        <v>21</v>
      </c>
      <c r="M139">
        <v>9</v>
      </c>
    </row>
    <row r="140" spans="1:13" x14ac:dyDescent="0.3">
      <c r="A140" t="s">
        <v>597</v>
      </c>
      <c r="B140" t="s">
        <v>598</v>
      </c>
      <c r="C140" t="s">
        <v>599</v>
      </c>
      <c r="D140" t="s">
        <v>25</v>
      </c>
      <c r="E140" t="s">
        <v>17</v>
      </c>
      <c r="F140" t="s">
        <v>600</v>
      </c>
      <c r="G140" t="s">
        <v>28</v>
      </c>
      <c r="H140">
        <v>23.306944439999999</v>
      </c>
      <c r="I140" s="1">
        <v>45888.556944444441</v>
      </c>
      <c r="J140" s="1">
        <v>45889.52847222222</v>
      </c>
      <c r="K140" t="s">
        <v>87</v>
      </c>
      <c r="L140" t="s">
        <v>55</v>
      </c>
      <c r="M140">
        <v>13</v>
      </c>
    </row>
    <row r="141" spans="1:13" x14ac:dyDescent="0.3">
      <c r="A141" t="s">
        <v>601</v>
      </c>
      <c r="B141" t="s">
        <v>602</v>
      </c>
      <c r="C141" t="s">
        <v>603</v>
      </c>
      <c r="D141" t="s">
        <v>84</v>
      </c>
      <c r="E141" t="s">
        <v>65</v>
      </c>
      <c r="F141" t="s">
        <v>604</v>
      </c>
      <c r="G141" t="s">
        <v>54</v>
      </c>
      <c r="H141">
        <v>139.76361109999999</v>
      </c>
      <c r="I141" s="1">
        <v>45890.609722222223</v>
      </c>
      <c r="J141" s="1">
        <v>45896.433333333334</v>
      </c>
      <c r="K141" t="s">
        <v>36</v>
      </c>
      <c r="L141" t="s">
        <v>55</v>
      </c>
      <c r="M141">
        <v>14</v>
      </c>
    </row>
    <row r="142" spans="1:13" x14ac:dyDescent="0.3">
      <c r="A142" t="s">
        <v>605</v>
      </c>
      <c r="B142" t="s">
        <v>606</v>
      </c>
      <c r="C142" t="s">
        <v>607</v>
      </c>
      <c r="D142" t="s">
        <v>40</v>
      </c>
      <c r="E142" t="s">
        <v>85</v>
      </c>
      <c r="F142" t="s">
        <v>608</v>
      </c>
      <c r="G142" t="s">
        <v>28</v>
      </c>
      <c r="H142">
        <v>14.8775</v>
      </c>
      <c r="I142" s="1">
        <v>45874.456944444442</v>
      </c>
      <c r="J142" s="1">
        <v>45875.076388888891</v>
      </c>
      <c r="K142" t="s">
        <v>87</v>
      </c>
      <c r="L142" t="s">
        <v>55</v>
      </c>
      <c r="M142">
        <v>10</v>
      </c>
    </row>
    <row r="143" spans="1:13" x14ac:dyDescent="0.3">
      <c r="A143" t="s">
        <v>609</v>
      </c>
      <c r="B143" t="s">
        <v>610</v>
      </c>
      <c r="C143" t="s">
        <v>611</v>
      </c>
      <c r="D143" t="s">
        <v>40</v>
      </c>
      <c r="E143" t="s">
        <v>17</v>
      </c>
      <c r="F143" t="s">
        <v>612</v>
      </c>
      <c r="G143" t="s">
        <v>28</v>
      </c>
      <c r="H143">
        <v>12.86833333</v>
      </c>
      <c r="I143" s="1">
        <v>45887.431944444441</v>
      </c>
      <c r="J143" s="1">
        <v>45887.968055555553</v>
      </c>
      <c r="K143" t="s">
        <v>29</v>
      </c>
      <c r="L143" t="s">
        <v>55</v>
      </c>
      <c r="M143">
        <v>10</v>
      </c>
    </row>
    <row r="144" spans="1:13" x14ac:dyDescent="0.3">
      <c r="A144" t="s">
        <v>613</v>
      </c>
      <c r="B144" t="s">
        <v>614</v>
      </c>
      <c r="C144" t="s">
        <v>615</v>
      </c>
      <c r="D144" t="s">
        <v>84</v>
      </c>
      <c r="E144" t="s">
        <v>47</v>
      </c>
      <c r="F144" t="s">
        <v>616</v>
      </c>
      <c r="G144" t="s">
        <v>28</v>
      </c>
      <c r="H144">
        <v>29.233333330000001</v>
      </c>
      <c r="I144" s="1">
        <v>45913.680555555555</v>
      </c>
      <c r="J144" s="1">
        <v>45914.898611111108</v>
      </c>
      <c r="K144" t="s">
        <v>67</v>
      </c>
      <c r="L144" t="s">
        <v>30</v>
      </c>
      <c r="M144">
        <v>16</v>
      </c>
    </row>
    <row r="145" spans="1:13" x14ac:dyDescent="0.3">
      <c r="A145" t="s">
        <v>617</v>
      </c>
      <c r="B145" t="s">
        <v>618</v>
      </c>
      <c r="C145" t="s">
        <v>619</v>
      </c>
      <c r="D145" t="s">
        <v>40</v>
      </c>
      <c r="E145" t="s">
        <v>41</v>
      </c>
      <c r="F145" t="s">
        <v>620</v>
      </c>
      <c r="G145" t="s">
        <v>54</v>
      </c>
      <c r="H145">
        <v>88.001944440000003</v>
      </c>
      <c r="I145" s="1">
        <v>45872.28402777778</v>
      </c>
      <c r="J145" s="1">
        <v>45875.950694444444</v>
      </c>
      <c r="K145" t="s">
        <v>134</v>
      </c>
      <c r="L145" t="s">
        <v>55</v>
      </c>
      <c r="M145">
        <v>6</v>
      </c>
    </row>
    <row r="146" spans="1:13" x14ac:dyDescent="0.3">
      <c r="A146" t="s">
        <v>621</v>
      </c>
      <c r="B146" t="s">
        <v>622</v>
      </c>
      <c r="C146" t="s">
        <v>623</v>
      </c>
      <c r="D146" t="s">
        <v>25</v>
      </c>
      <c r="E146" t="s">
        <v>85</v>
      </c>
      <c r="F146" t="s">
        <v>624</v>
      </c>
      <c r="G146" t="s">
        <v>28</v>
      </c>
      <c r="H146">
        <v>12.22944444</v>
      </c>
      <c r="I146" s="1">
        <v>45835.12777777778</v>
      </c>
      <c r="J146" s="1">
        <v>45835.637499999997</v>
      </c>
      <c r="K146" t="s">
        <v>20</v>
      </c>
      <c r="L146" t="s">
        <v>21</v>
      </c>
      <c r="M146">
        <v>3</v>
      </c>
    </row>
    <row r="147" spans="1:13" x14ac:dyDescent="0.3">
      <c r="A147" t="s">
        <v>625</v>
      </c>
      <c r="B147" t="s">
        <v>626</v>
      </c>
      <c r="C147" t="s">
        <v>627</v>
      </c>
      <c r="D147" t="s">
        <v>154</v>
      </c>
      <c r="E147" t="s">
        <v>41</v>
      </c>
      <c r="F147" t="s">
        <v>628</v>
      </c>
      <c r="G147" t="s">
        <v>220</v>
      </c>
      <c r="H147">
        <v>2.0097222220000002</v>
      </c>
      <c r="I147" s="1">
        <v>45900.65902777778</v>
      </c>
      <c r="J147" s="1">
        <v>45900.743055555555</v>
      </c>
      <c r="K147" t="s">
        <v>134</v>
      </c>
      <c r="L147" t="s">
        <v>55</v>
      </c>
      <c r="M147">
        <v>15</v>
      </c>
    </row>
    <row r="148" spans="1:13" x14ac:dyDescent="0.3">
      <c r="A148" t="s">
        <v>629</v>
      </c>
      <c r="B148" t="s">
        <v>630</v>
      </c>
      <c r="C148" t="s">
        <v>631</v>
      </c>
      <c r="D148" t="s">
        <v>84</v>
      </c>
      <c r="E148" t="s">
        <v>65</v>
      </c>
      <c r="F148" t="s">
        <v>632</v>
      </c>
      <c r="G148" t="s">
        <v>19</v>
      </c>
      <c r="H148">
        <v>7.8494444440000004</v>
      </c>
      <c r="I148" s="1">
        <v>45832.460416666669</v>
      </c>
      <c r="J148" s="1">
        <v>45832.787499999999</v>
      </c>
      <c r="K148" t="s">
        <v>87</v>
      </c>
      <c r="L148" t="s">
        <v>21</v>
      </c>
      <c r="M148">
        <v>11</v>
      </c>
    </row>
    <row r="149" spans="1:13" x14ac:dyDescent="0.3">
      <c r="A149" t="s">
        <v>633</v>
      </c>
      <c r="B149" t="s">
        <v>634</v>
      </c>
      <c r="C149" t="s">
        <v>635</v>
      </c>
      <c r="D149" t="s">
        <v>112</v>
      </c>
      <c r="E149" t="s">
        <v>41</v>
      </c>
      <c r="F149" t="s">
        <v>636</v>
      </c>
      <c r="G149" t="s">
        <v>54</v>
      </c>
      <c r="H149">
        <v>84.074166669999997</v>
      </c>
      <c r="I149" s="1">
        <v>45902.705555555556</v>
      </c>
      <c r="J149" s="1">
        <v>45906.209027777775</v>
      </c>
      <c r="K149" t="s">
        <v>87</v>
      </c>
      <c r="L149" t="s">
        <v>30</v>
      </c>
      <c r="M149">
        <v>16</v>
      </c>
    </row>
    <row r="150" spans="1:13" x14ac:dyDescent="0.3">
      <c r="A150" t="s">
        <v>637</v>
      </c>
      <c r="B150" t="s">
        <v>638</v>
      </c>
      <c r="C150" t="s">
        <v>639</v>
      </c>
      <c r="D150" t="s">
        <v>16</v>
      </c>
      <c r="E150" t="s">
        <v>79</v>
      </c>
      <c r="F150" t="s">
        <v>640</v>
      </c>
      <c r="G150" t="s">
        <v>28</v>
      </c>
      <c r="H150">
        <v>26.465833329999999</v>
      </c>
      <c r="I150" s="1">
        <v>45854.598611111112</v>
      </c>
      <c r="J150" s="1">
        <v>45855.701388888891</v>
      </c>
      <c r="K150" t="s">
        <v>49</v>
      </c>
      <c r="L150" t="s">
        <v>43</v>
      </c>
      <c r="M150">
        <v>14</v>
      </c>
    </row>
    <row r="151" spans="1:13" x14ac:dyDescent="0.3">
      <c r="A151" t="s">
        <v>641</v>
      </c>
      <c r="B151" t="s">
        <v>642</v>
      </c>
      <c r="C151" t="s">
        <v>643</v>
      </c>
      <c r="D151" t="s">
        <v>40</v>
      </c>
      <c r="E151" t="s">
        <v>17</v>
      </c>
      <c r="F151" t="s">
        <v>644</v>
      </c>
      <c r="G151" t="s">
        <v>28</v>
      </c>
      <c r="H151">
        <v>24.013055560000002</v>
      </c>
      <c r="I151" s="1">
        <v>45869.175000000003</v>
      </c>
      <c r="J151" s="1">
        <v>45870.175694444442</v>
      </c>
      <c r="K151" t="s">
        <v>36</v>
      </c>
      <c r="L151" t="s">
        <v>43</v>
      </c>
      <c r="M151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0DEC-8D11-4D76-8154-843963B5D50F}">
  <dimension ref="A1:AM28"/>
  <sheetViews>
    <sheetView zoomScale="92" zoomScaleNormal="92" workbookViewId="0">
      <selection activeCell="AG33" sqref="AG33"/>
    </sheetView>
  </sheetViews>
  <sheetFormatPr defaultRowHeight="14.4" x14ac:dyDescent="0.3"/>
  <cols>
    <col min="1" max="1" width="11" bestFit="1" customWidth="1"/>
    <col min="2" max="2" width="16.33203125" bestFit="1" customWidth="1"/>
    <col min="4" max="4" width="12.109375" bestFit="1" customWidth="1"/>
    <col min="5" max="5" width="16.33203125" bestFit="1" customWidth="1"/>
    <col min="8" max="8" width="11" bestFit="1" customWidth="1"/>
    <col min="9" max="9" width="16.33203125" bestFit="1" customWidth="1"/>
    <col min="10" max="10" width="11.5546875" bestFit="1" customWidth="1"/>
    <col min="12" max="12" width="11" bestFit="1" customWidth="1"/>
    <col min="13" max="13" width="24.77734375" bestFit="1" customWidth="1"/>
    <col min="14" max="14" width="21.33203125" bestFit="1" customWidth="1"/>
    <col min="15" max="15" width="11" bestFit="1" customWidth="1"/>
    <col min="16" max="16" width="24.5546875" bestFit="1" customWidth="1"/>
    <col min="17" max="17" width="20.77734375" bestFit="1" customWidth="1"/>
    <col min="19" max="19" width="13.109375" bestFit="1" customWidth="1"/>
    <col min="20" max="20" width="16.33203125" bestFit="1" customWidth="1"/>
    <col min="21" max="21" width="24.5546875" bestFit="1" customWidth="1"/>
    <col min="27" max="27" width="14.6640625" customWidth="1"/>
    <col min="31" max="31" width="25.33203125" customWidth="1"/>
    <col min="32" max="32" width="31" customWidth="1"/>
    <col min="34" max="34" width="13.6640625" bestFit="1" customWidth="1"/>
    <col min="35" max="37" width="24.77734375" bestFit="1" customWidth="1"/>
    <col min="38" max="38" width="32.33203125" customWidth="1"/>
    <col min="39" max="39" width="27.5546875" customWidth="1"/>
  </cols>
  <sheetData>
    <row r="1" spans="1:39" ht="21" x14ac:dyDescent="0.4">
      <c r="A1" s="6" t="s">
        <v>649</v>
      </c>
      <c r="D1" s="3"/>
      <c r="L1" s="6" t="s">
        <v>650</v>
      </c>
      <c r="AH1" s="12" t="s">
        <v>682</v>
      </c>
      <c r="AL1" s="14" t="s">
        <v>685</v>
      </c>
    </row>
    <row r="2" spans="1:39" x14ac:dyDescent="0.3">
      <c r="L2" t="s">
        <v>651</v>
      </c>
      <c r="O2" t="s">
        <v>653</v>
      </c>
      <c r="AA2" s="10" t="s">
        <v>656</v>
      </c>
      <c r="AE2" s="3" t="s">
        <v>681</v>
      </c>
      <c r="AL2" s="13" t="s">
        <v>686</v>
      </c>
      <c r="AM2" t="s">
        <v>687</v>
      </c>
    </row>
    <row r="3" spans="1:39" x14ac:dyDescent="0.3">
      <c r="A3" s="4" t="s">
        <v>11</v>
      </c>
      <c r="B3" t="s">
        <v>648</v>
      </c>
      <c r="D3" s="4" t="s">
        <v>654</v>
      </c>
      <c r="E3" t="s">
        <v>648</v>
      </c>
      <c r="H3" s="4" t="s">
        <v>12</v>
      </c>
      <c r="I3" t="s">
        <v>648</v>
      </c>
      <c r="L3" s="4" t="s">
        <v>3</v>
      </c>
      <c r="M3" t="s">
        <v>684</v>
      </c>
      <c r="O3" s="4" t="s">
        <v>652</v>
      </c>
      <c r="P3" t="s">
        <v>647</v>
      </c>
      <c r="S3" s="4" t="s">
        <v>645</v>
      </c>
      <c r="T3" t="s">
        <v>648</v>
      </c>
      <c r="U3" t="s">
        <v>647</v>
      </c>
      <c r="AL3" s="13" t="s">
        <v>688</v>
      </c>
      <c r="AM3" t="s">
        <v>689</v>
      </c>
    </row>
    <row r="4" spans="1:39" x14ac:dyDescent="0.3">
      <c r="A4" s="5" t="s">
        <v>21</v>
      </c>
      <c r="B4">
        <v>27</v>
      </c>
      <c r="D4" s="5" t="s">
        <v>134</v>
      </c>
      <c r="E4">
        <v>26</v>
      </c>
      <c r="H4" s="5">
        <v>0</v>
      </c>
      <c r="I4">
        <v>9</v>
      </c>
      <c r="L4" s="5" t="s">
        <v>59</v>
      </c>
      <c r="M4">
        <v>44.386833330933335</v>
      </c>
      <c r="O4" s="5" t="s">
        <v>220</v>
      </c>
      <c r="P4">
        <v>185.41915313000001</v>
      </c>
      <c r="S4" s="5" t="s">
        <v>59</v>
      </c>
      <c r="T4">
        <v>15</v>
      </c>
      <c r="U4">
        <v>787.60753133000014</v>
      </c>
      <c r="AA4" s="9" t="s">
        <v>655</v>
      </c>
      <c r="AB4" s="9" t="s">
        <v>657</v>
      </c>
      <c r="AE4" s="11" t="s">
        <v>674</v>
      </c>
      <c r="AF4" s="11" t="s">
        <v>675</v>
      </c>
      <c r="AH4" s="4" t="s">
        <v>683</v>
      </c>
      <c r="AI4" t="s">
        <v>684</v>
      </c>
      <c r="AL4" s="13" t="s">
        <v>690</v>
      </c>
      <c r="AM4" t="s">
        <v>691</v>
      </c>
    </row>
    <row r="5" spans="1:39" x14ac:dyDescent="0.3">
      <c r="A5" s="5" t="s">
        <v>43</v>
      </c>
      <c r="B5">
        <v>51</v>
      </c>
      <c r="D5" s="5" t="s">
        <v>29</v>
      </c>
      <c r="E5">
        <v>19</v>
      </c>
      <c r="H5" s="5">
        <v>1</v>
      </c>
      <c r="I5">
        <v>6</v>
      </c>
      <c r="L5" s="5" t="s">
        <v>154</v>
      </c>
      <c r="M5">
        <v>62.616180556416673</v>
      </c>
      <c r="O5" s="5" t="s">
        <v>19</v>
      </c>
      <c r="P5">
        <v>1315.9731715299997</v>
      </c>
      <c r="S5" s="5" t="s">
        <v>154</v>
      </c>
      <c r="T5">
        <v>12</v>
      </c>
      <c r="U5">
        <v>621.71857023999996</v>
      </c>
      <c r="AE5" s="7" t="s">
        <v>676</v>
      </c>
      <c r="AF5" s="7">
        <v>51</v>
      </c>
      <c r="AH5" s="5" t="s">
        <v>79</v>
      </c>
      <c r="AI5">
        <v>46.389947921437511</v>
      </c>
      <c r="AL5" s="13" t="s">
        <v>692</v>
      </c>
      <c r="AM5" t="s">
        <v>693</v>
      </c>
    </row>
    <row r="6" spans="1:39" x14ac:dyDescent="0.3">
      <c r="A6" s="5" t="s">
        <v>55</v>
      </c>
      <c r="B6">
        <v>45</v>
      </c>
      <c r="D6" s="5" t="s">
        <v>87</v>
      </c>
      <c r="E6">
        <v>22</v>
      </c>
      <c r="H6" s="5">
        <v>2</v>
      </c>
      <c r="I6">
        <v>4</v>
      </c>
      <c r="L6" s="5" t="s">
        <v>40</v>
      </c>
      <c r="M6">
        <v>42.636678237875003</v>
      </c>
      <c r="O6" s="5" t="s">
        <v>54</v>
      </c>
      <c r="P6">
        <v>3048.5678302399997</v>
      </c>
      <c r="S6" s="5" t="s">
        <v>40</v>
      </c>
      <c r="T6">
        <v>24</v>
      </c>
      <c r="U6">
        <v>1154.4266042300001</v>
      </c>
      <c r="AA6" s="7" t="s">
        <v>658</v>
      </c>
      <c r="AB6" s="7">
        <v>51</v>
      </c>
      <c r="AE6" s="7" t="s">
        <v>677</v>
      </c>
      <c r="AF6" s="7">
        <v>37</v>
      </c>
      <c r="AH6" s="5" t="s">
        <v>65</v>
      </c>
      <c r="AI6">
        <v>82.225629631399983</v>
      </c>
      <c r="AL6" s="13" t="s">
        <v>694</v>
      </c>
      <c r="AM6" t="s">
        <v>695</v>
      </c>
    </row>
    <row r="7" spans="1:39" x14ac:dyDescent="0.3">
      <c r="A7" s="5" t="s">
        <v>30</v>
      </c>
      <c r="B7">
        <v>27</v>
      </c>
      <c r="D7" s="5" t="s">
        <v>49</v>
      </c>
      <c r="E7">
        <v>24</v>
      </c>
      <c r="H7" s="5">
        <v>3</v>
      </c>
      <c r="I7">
        <v>6</v>
      </c>
      <c r="L7" s="5" t="s">
        <v>84</v>
      </c>
      <c r="M7">
        <v>50.114444442173912</v>
      </c>
      <c r="O7" s="5" t="s">
        <v>28</v>
      </c>
      <c r="P7">
        <v>3169.83240015</v>
      </c>
      <c r="S7" s="5" t="s">
        <v>84</v>
      </c>
      <c r="T7">
        <v>23</v>
      </c>
      <c r="U7">
        <v>1183.1550311799999</v>
      </c>
      <c r="AA7" s="7" t="s">
        <v>659</v>
      </c>
      <c r="AB7" s="7">
        <v>51</v>
      </c>
      <c r="AE7" s="7" t="s">
        <v>678</v>
      </c>
      <c r="AF7" s="7">
        <v>24</v>
      </c>
      <c r="AH7" s="5" t="s">
        <v>60</v>
      </c>
      <c r="AI7">
        <v>72.610424843647067</v>
      </c>
      <c r="AL7" s="13" t="s">
        <v>696</v>
      </c>
      <c r="AM7" t="s">
        <v>697</v>
      </c>
    </row>
    <row r="8" spans="1:39" x14ac:dyDescent="0.3">
      <c r="A8" s="5" t="s">
        <v>646</v>
      </c>
      <c r="B8">
        <v>150</v>
      </c>
      <c r="D8" s="5" t="s">
        <v>36</v>
      </c>
      <c r="E8">
        <v>23</v>
      </c>
      <c r="H8" s="5">
        <v>4</v>
      </c>
      <c r="I8">
        <v>3</v>
      </c>
      <c r="L8" s="5" t="s">
        <v>16</v>
      </c>
      <c r="M8">
        <v>51.542885805777772</v>
      </c>
      <c r="O8" s="5" t="s">
        <v>646</v>
      </c>
      <c r="P8">
        <v>7719.7925550500004</v>
      </c>
      <c r="S8" s="5" t="s">
        <v>16</v>
      </c>
      <c r="T8">
        <v>18</v>
      </c>
      <c r="U8">
        <v>924.19993076000014</v>
      </c>
      <c r="AA8" s="7" t="s">
        <v>660</v>
      </c>
      <c r="AB8" s="7">
        <v>51</v>
      </c>
      <c r="AE8" s="7" t="s">
        <v>679</v>
      </c>
      <c r="AF8" s="7">
        <v>23</v>
      </c>
      <c r="AH8" s="5" t="s">
        <v>41</v>
      </c>
      <c r="AI8">
        <v>50.214689542882354</v>
      </c>
      <c r="AL8" s="13" t="s">
        <v>698</v>
      </c>
      <c r="AM8" t="s">
        <v>699</v>
      </c>
    </row>
    <row r="9" spans="1:39" x14ac:dyDescent="0.3">
      <c r="D9" s="5" t="s">
        <v>20</v>
      </c>
      <c r="E9">
        <v>16</v>
      </c>
      <c r="H9" s="5">
        <v>5</v>
      </c>
      <c r="I9">
        <v>6</v>
      </c>
      <c r="L9" s="5" t="s">
        <v>112</v>
      </c>
      <c r="M9">
        <v>97.824166688428562</v>
      </c>
      <c r="S9" s="5" t="s">
        <v>112</v>
      </c>
      <c r="T9">
        <v>7</v>
      </c>
      <c r="U9">
        <v>361.81409934999999</v>
      </c>
      <c r="AA9" s="7" t="s">
        <v>661</v>
      </c>
      <c r="AB9" s="7">
        <v>24</v>
      </c>
      <c r="AE9" s="7" t="s">
        <v>680</v>
      </c>
      <c r="AF9" s="7">
        <v>15</v>
      </c>
      <c r="AH9" s="5" t="s">
        <v>47</v>
      </c>
      <c r="AI9">
        <v>35.375341880923074</v>
      </c>
      <c r="AL9" s="13" t="s">
        <v>700</v>
      </c>
      <c r="AM9" t="s">
        <v>701</v>
      </c>
    </row>
    <row r="10" spans="1:39" x14ac:dyDescent="0.3">
      <c r="D10" s="5" t="s">
        <v>67</v>
      </c>
      <c r="E10">
        <v>20</v>
      </c>
      <c r="H10" s="5">
        <v>6</v>
      </c>
      <c r="I10">
        <v>9</v>
      </c>
      <c r="L10" s="5" t="s">
        <v>25</v>
      </c>
      <c r="M10">
        <v>54.683197169862723</v>
      </c>
      <c r="S10" s="5" t="s">
        <v>25</v>
      </c>
      <c r="T10">
        <v>51</v>
      </c>
      <c r="U10">
        <v>2686.8707879599997</v>
      </c>
      <c r="AA10" s="7" t="s">
        <v>662</v>
      </c>
      <c r="AB10" s="7">
        <v>24</v>
      </c>
      <c r="AH10" s="5" t="s">
        <v>103</v>
      </c>
      <c r="AI10">
        <v>64.43333332025</v>
      </c>
    </row>
    <row r="11" spans="1:39" x14ac:dyDescent="0.3">
      <c r="D11" s="5" t="s">
        <v>646</v>
      </c>
      <c r="E11">
        <v>150</v>
      </c>
      <c r="H11" s="5">
        <v>7</v>
      </c>
      <c r="I11">
        <v>6</v>
      </c>
      <c r="L11" s="5" t="s">
        <v>646</v>
      </c>
      <c r="M11">
        <v>53.296622223373326</v>
      </c>
      <c r="S11" s="5" t="s">
        <v>646</v>
      </c>
      <c r="T11">
        <v>150</v>
      </c>
      <c r="U11">
        <v>7719.7925550499958</v>
      </c>
      <c r="AA11" s="7" t="s">
        <v>663</v>
      </c>
      <c r="AB11" s="7">
        <v>24</v>
      </c>
      <c r="AH11" s="5" t="s">
        <v>85</v>
      </c>
      <c r="AI11">
        <v>33.453888889142853</v>
      </c>
    </row>
    <row r="12" spans="1:39" x14ac:dyDescent="0.3">
      <c r="H12" s="5">
        <v>8</v>
      </c>
      <c r="I12">
        <v>5</v>
      </c>
      <c r="AA12" s="7" t="s">
        <v>664</v>
      </c>
      <c r="AB12" s="7">
        <v>24</v>
      </c>
      <c r="AH12" s="5" t="s">
        <v>34</v>
      </c>
      <c r="AI12">
        <v>66.843576388937493</v>
      </c>
    </row>
    <row r="13" spans="1:39" x14ac:dyDescent="0.3">
      <c r="H13" s="5">
        <v>9</v>
      </c>
      <c r="I13">
        <v>6</v>
      </c>
      <c r="AA13" s="7" t="s">
        <v>665</v>
      </c>
      <c r="AB13" s="7">
        <v>24</v>
      </c>
      <c r="AH13" s="5" t="s">
        <v>26</v>
      </c>
      <c r="AI13">
        <v>47.042530865148144</v>
      </c>
    </row>
    <row r="14" spans="1:39" x14ac:dyDescent="0.3">
      <c r="H14" s="5">
        <v>10</v>
      </c>
      <c r="I14">
        <v>6</v>
      </c>
      <c r="AA14" s="7" t="s">
        <v>666</v>
      </c>
      <c r="AB14" s="7">
        <v>24</v>
      </c>
      <c r="AH14" s="5" t="s">
        <v>17</v>
      </c>
      <c r="AI14">
        <v>27.262420635785713</v>
      </c>
    </row>
    <row r="15" spans="1:39" x14ac:dyDescent="0.3">
      <c r="H15" s="5">
        <v>11</v>
      </c>
      <c r="I15">
        <v>7</v>
      </c>
      <c r="AA15" s="7" t="s">
        <v>667</v>
      </c>
      <c r="AB15" s="7">
        <v>24</v>
      </c>
      <c r="AH15" s="5" t="s">
        <v>646</v>
      </c>
      <c r="AI15">
        <v>53.296622223373355</v>
      </c>
    </row>
    <row r="16" spans="1:39" x14ac:dyDescent="0.3">
      <c r="H16" s="5">
        <v>12</v>
      </c>
      <c r="I16">
        <v>7</v>
      </c>
      <c r="AA16" s="7" t="s">
        <v>668</v>
      </c>
      <c r="AB16" s="7">
        <v>23</v>
      </c>
    </row>
    <row r="17" spans="8:28" x14ac:dyDescent="0.3">
      <c r="H17" s="5">
        <v>13</v>
      </c>
      <c r="I17">
        <v>7</v>
      </c>
      <c r="AA17" s="7" t="s">
        <v>669</v>
      </c>
      <c r="AB17" s="7">
        <v>23</v>
      </c>
    </row>
    <row r="18" spans="8:28" x14ac:dyDescent="0.3">
      <c r="H18" s="5">
        <v>14</v>
      </c>
      <c r="I18">
        <v>5</v>
      </c>
      <c r="AA18" s="7" t="s">
        <v>670</v>
      </c>
      <c r="AB18" s="7">
        <v>23</v>
      </c>
    </row>
    <row r="19" spans="8:28" x14ac:dyDescent="0.3">
      <c r="H19" s="5">
        <v>15</v>
      </c>
      <c r="I19">
        <v>6</v>
      </c>
      <c r="AA19" s="7" t="s">
        <v>671</v>
      </c>
      <c r="AB19" s="7">
        <v>23</v>
      </c>
    </row>
    <row r="20" spans="8:28" x14ac:dyDescent="0.3">
      <c r="H20" s="5">
        <v>16</v>
      </c>
      <c r="I20">
        <v>7</v>
      </c>
      <c r="AA20" s="7" t="s">
        <v>672</v>
      </c>
      <c r="AB20" s="7">
        <v>15</v>
      </c>
    </row>
    <row r="21" spans="8:28" x14ac:dyDescent="0.3">
      <c r="H21" s="5">
        <v>17</v>
      </c>
      <c r="I21">
        <v>9</v>
      </c>
      <c r="AA21" s="8" t="s">
        <v>673</v>
      </c>
      <c r="AB21" s="8">
        <v>47</v>
      </c>
    </row>
    <row r="22" spans="8:28" x14ac:dyDescent="0.3">
      <c r="H22" s="5">
        <v>18</v>
      </c>
      <c r="I22">
        <v>4</v>
      </c>
    </row>
    <row r="23" spans="8:28" x14ac:dyDescent="0.3">
      <c r="H23" s="5">
        <v>19</v>
      </c>
      <c r="I23">
        <v>7</v>
      </c>
    </row>
    <row r="24" spans="8:28" x14ac:dyDescent="0.3">
      <c r="H24" s="5">
        <v>20</v>
      </c>
      <c r="I24">
        <v>8</v>
      </c>
    </row>
    <row r="25" spans="8:28" x14ac:dyDescent="0.3">
      <c r="H25" s="5">
        <v>21</v>
      </c>
      <c r="I25">
        <v>6</v>
      </c>
    </row>
    <row r="26" spans="8:28" x14ac:dyDescent="0.3">
      <c r="H26" s="5">
        <v>22</v>
      </c>
      <c r="I26">
        <v>7</v>
      </c>
    </row>
    <row r="27" spans="8:28" x14ac:dyDescent="0.3">
      <c r="H27" s="5">
        <v>23</v>
      </c>
      <c r="I27">
        <v>4</v>
      </c>
    </row>
    <row r="28" spans="8:28" x14ac:dyDescent="0.3">
      <c r="H28" s="5" t="s">
        <v>646</v>
      </c>
      <c r="I28">
        <v>150</v>
      </c>
    </row>
  </sheetData>
  <pageMargins left="0.7" right="0.7" top="0.75" bottom="0.75" header="0.3" footer="0.3"/>
  <pageSetup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F499-15CF-4EBD-AEFF-CA09C1DBC71F}">
  <dimension ref="A3:A23"/>
  <sheetViews>
    <sheetView topLeftCell="A2" workbookViewId="0">
      <selection activeCell="E7" sqref="E7"/>
    </sheetView>
  </sheetViews>
  <sheetFormatPr defaultRowHeight="14.4" x14ac:dyDescent="0.3"/>
  <sheetData>
    <row r="3" spans="1:1" ht="31.2" x14ac:dyDescent="0.3">
      <c r="A3" s="31" t="s">
        <v>722</v>
      </c>
    </row>
    <row r="4" spans="1:1" x14ac:dyDescent="0.3">
      <c r="A4" s="32"/>
    </row>
    <row r="5" spans="1:1" x14ac:dyDescent="0.3">
      <c r="A5" s="33" t="s">
        <v>723</v>
      </c>
    </row>
    <row r="6" spans="1:1" x14ac:dyDescent="0.3">
      <c r="A6" s="32"/>
    </row>
    <row r="7" spans="1:1" x14ac:dyDescent="0.3">
      <c r="A7" s="33" t="s">
        <v>724</v>
      </c>
    </row>
    <row r="8" spans="1:1" x14ac:dyDescent="0.3">
      <c r="A8" s="32"/>
    </row>
    <row r="9" spans="1:1" x14ac:dyDescent="0.3">
      <c r="A9" s="33" t="s">
        <v>725</v>
      </c>
    </row>
    <row r="10" spans="1:1" x14ac:dyDescent="0.3">
      <c r="A10" s="32"/>
    </row>
    <row r="11" spans="1:1" x14ac:dyDescent="0.3">
      <c r="A11" s="33" t="s">
        <v>726</v>
      </c>
    </row>
    <row r="12" spans="1:1" x14ac:dyDescent="0.3">
      <c r="A12" s="32"/>
    </row>
    <row r="13" spans="1:1" x14ac:dyDescent="0.3">
      <c r="A13" s="33" t="s">
        <v>727</v>
      </c>
    </row>
    <row r="14" spans="1:1" x14ac:dyDescent="0.3">
      <c r="A14" s="32"/>
    </row>
    <row r="15" spans="1:1" x14ac:dyDescent="0.3">
      <c r="A15" s="33" t="s">
        <v>728</v>
      </c>
    </row>
    <row r="16" spans="1:1" x14ac:dyDescent="0.3">
      <c r="A16" s="32"/>
    </row>
    <row r="17" spans="1:1" x14ac:dyDescent="0.3">
      <c r="A17" s="33" t="s">
        <v>729</v>
      </c>
    </row>
    <row r="18" spans="1:1" x14ac:dyDescent="0.3">
      <c r="A18" s="32"/>
    </row>
    <row r="19" spans="1:1" x14ac:dyDescent="0.3">
      <c r="A19" s="33" t="s">
        <v>730</v>
      </c>
    </row>
    <row r="20" spans="1:1" x14ac:dyDescent="0.3">
      <c r="A20" s="32"/>
    </row>
    <row r="21" spans="1:1" x14ac:dyDescent="0.3">
      <c r="A21" s="33" t="s">
        <v>731</v>
      </c>
    </row>
    <row r="22" spans="1:1" x14ac:dyDescent="0.3">
      <c r="A22" s="32"/>
    </row>
    <row r="23" spans="1:1" x14ac:dyDescent="0.3">
      <c r="A23" s="33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Summary_Dashboard</vt:lpstr>
      <vt:lpstr>Data&amp;Calculatins</vt:lpstr>
      <vt:lpstr>Detailed Analysis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nadimindla</dc:creator>
  <cp:lastModifiedBy>ramana nadimindla</cp:lastModifiedBy>
  <dcterms:created xsi:type="dcterms:W3CDTF">2026-09-28T10:02:10Z</dcterms:created>
  <dcterms:modified xsi:type="dcterms:W3CDTF">2026-09-28T17:01:46Z</dcterms:modified>
</cp:coreProperties>
</file>